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модель" sheetId="1" state="visible" r:id="rId1"/>
    <sheet name="Партнёрство" sheetId="2" state="visible" r:id="rId2"/>
    <sheet name="Зарплаты (справка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\ &quot;€&quot;"/>
    <numFmt numFmtId="165" formatCode="0.0%"/>
    <numFmt numFmtId="166" formatCode="0 &quot;мес.&quot;"/>
    <numFmt numFmtId="167" formatCode="0.0 &quot;лет&quot;"/>
  </numFmts>
  <fonts count="18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4"/>
    </font>
    <font>
      <name val="Calibri"/>
      <color rgb="0064748B"/>
      <sz val="9"/>
    </font>
    <font>
      <name val="Calibri"/>
      <color rgb="0094A3B8"/>
      <sz val="10"/>
    </font>
    <font>
      <name val="Calibri"/>
      <color rgb="00FCD34D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9"/>
    </font>
    <font>
      <name val="Calibri"/>
      <i val="1"/>
      <color rgb="00111827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color rgb="00111827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i val="1"/>
      <color rgb="00607D8B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3F4F6"/>
      </patternFill>
    </fill>
    <fill>
      <patternFill patternType="solid">
        <fgColor rgb="001B5E20"/>
      </patternFill>
    </fill>
    <fill>
      <patternFill patternType="solid">
        <fgColor rgb="00DBEAFE"/>
      </patternFill>
    </fill>
    <fill>
      <patternFill patternType="solid">
        <fgColor rgb="007F1D1D"/>
      </patternFill>
    </fill>
    <fill>
      <patternFill patternType="solid">
        <fgColor rgb="0078350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 wrapText="1"/>
    </xf>
    <xf numFmtId="164" fontId="1" fillId="6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right" vertical="center"/>
    </xf>
    <xf numFmtId="164" fontId="1" fillId="9" borderId="1" applyAlignment="1" pivotButton="0" quotePrefix="0" xfId="0">
      <alignment horizontal="right" vertical="center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0" fontId="0" fillId="10" borderId="1" pivotButton="0" quotePrefix="0" xfId="0"/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165" fontId="1" fillId="9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165" fontId="14" fillId="6" borderId="1" applyAlignment="1" pivotButton="0" quotePrefix="0" xfId="0">
      <alignment horizontal="right" vertical="center"/>
    </xf>
    <xf numFmtId="164" fontId="15" fillId="9" borderId="1" applyAlignment="1" pivotButton="0" quotePrefix="0" xfId="0">
      <alignment horizontal="right" vertical="center"/>
    </xf>
    <xf numFmtId="0" fontId="0" fillId="5" borderId="0" pivotButton="0" quotePrefix="0" xfId="0"/>
    <xf numFmtId="0" fontId="15" fillId="9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right" vertical="center"/>
    </xf>
    <xf numFmtId="166" fontId="15" fillId="9" borderId="1" applyAlignment="1" pivotButton="0" quotePrefix="0" xfId="0">
      <alignment horizontal="right" vertical="center"/>
    </xf>
    <xf numFmtId="167" fontId="15" fillId="9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5" fillId="5" borderId="1" applyAlignment="1" pivotButton="0" quotePrefix="0" xfId="0">
      <alignment horizontal="left" vertical="center"/>
    </xf>
    <xf numFmtId="164" fontId="14" fillId="9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5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7" customWidth="1" min="3" max="3"/>
    <col width="17" customWidth="1" min="4" max="4"/>
    <col width="13" customWidth="1" min="5" max="5"/>
    <col width="13" customWidth="1" min="6" max="6"/>
    <col width="14" customWidth="1" min="7" max="7"/>
    <col width="30" customWidth="1" min="8" max="8"/>
  </cols>
  <sheetData>
    <row r="1" ht="34" customHeight="1">
      <c r="A1" s="1" t="inlineStr"/>
      <c r="B1" s="2" t="inlineStr">
        <is>
          <t>BlinHaus Vienna — Финансовая модель</t>
        </is>
      </c>
      <c r="C1" s="1" t="inlineStr"/>
      <c r="D1" s="1" t="inlineStr"/>
      <c r="E1" s="1" t="inlineStr"/>
      <c r="F1" s="1" t="inlineStr"/>
      <c r="G1" s="3" t="inlineStr">
        <is>
          <t>Июль 2026</t>
        </is>
      </c>
      <c r="H1" s="1" t="inlineStr"/>
    </row>
    <row r="2" ht="18" customHeight="1">
      <c r="A2" s="1" t="inlineStr"/>
      <c r="B2" s="4" t="inlineStr">
        <is>
          <t>Schönbrunner Str. 129 · 1050 Wien · AT GmbH</t>
        </is>
      </c>
      <c r="C2" s="1" t="inlineStr"/>
      <c r="D2" s="1" t="inlineStr"/>
      <c r="E2" s="1" t="inlineStr"/>
      <c r="F2" s="1" t="inlineStr"/>
      <c r="G2" s="1" t="inlineStr"/>
      <c r="H2" s="1" t="inlineStr"/>
    </row>
    <row r="3" ht="14" customHeight="1">
      <c r="A3" s="1" t="inlineStr"/>
      <c r="B3" s="5" t="inlineStr">
        <is>
          <t xml:space="preserve">  Зелёные ячейки = вводить данные  |  Синие = формулы  |  C = Текущая,  D = Оптимизированная</t>
        </is>
      </c>
      <c r="C3" s="1" t="inlineStr"/>
      <c r="D3" s="1" t="inlineStr"/>
      <c r="E3" s="1" t="inlineStr"/>
      <c r="F3" s="1" t="inlineStr"/>
      <c r="G3" s="1" t="inlineStr"/>
      <c r="H3" s="1" t="inlineStr"/>
    </row>
    <row r="5" ht="22" customHeight="1">
      <c r="A5" s="6" t="inlineStr"/>
      <c r="B5" s="7" t="inlineStr">
        <is>
          <t>Статья</t>
        </is>
      </c>
      <c r="C5" s="8" t="inlineStr">
        <is>
          <t>Текущая €</t>
        </is>
      </c>
      <c r="D5" s="8" t="inlineStr">
        <is>
          <t>Оптимиз. €</t>
        </is>
      </c>
      <c r="E5" s="6" t="inlineStr">
        <is>
          <t>% тек.</t>
        </is>
      </c>
      <c r="F5" s="6" t="inlineStr">
        <is>
          <t>% опт.</t>
        </is>
      </c>
      <c r="G5" s="6" t="inlineStr">
        <is>
          <t>Сценарий</t>
        </is>
      </c>
      <c r="H5" s="7" t="inlineStr">
        <is>
          <t>Комментарий</t>
        </is>
      </c>
    </row>
    <row r="6" ht="20" customHeight="1">
      <c r="A6" s="9" t="inlineStr"/>
      <c r="B6" s="10" t="inlineStr">
        <is>
          <t>ВЫРУЧКА</t>
        </is>
      </c>
      <c r="C6" s="9" t="inlineStr"/>
      <c r="D6" s="9" t="inlineStr"/>
      <c r="E6" s="9" t="inlineStr"/>
      <c r="F6" s="9" t="inlineStr"/>
      <c r="G6" s="9" t="inlineStr"/>
      <c r="H6" s="9" t="inlineStr"/>
    </row>
    <row r="7" ht="16" customHeight="1">
      <c r="A7" s="11" t="inlineStr"/>
      <c r="B7" s="12" t="inlineStr">
        <is>
          <t xml:space="preserve">  Кафе (касса, on-site)</t>
        </is>
      </c>
      <c r="C7" s="13" t="n">
        <v>10597</v>
      </c>
      <c r="D7" s="13" t="n">
        <v>10597</v>
      </c>
      <c r="E7" s="14">
        <f>IF(C12=0,"",C7/C12)</f>
        <v/>
      </c>
      <c r="F7" s="14">
        <f>IF(D12=0,"",D7/D12)</f>
        <v/>
      </c>
      <c r="G7" s="15" t="inlineStr">
        <is>
          <t>Оба</t>
        </is>
      </c>
      <c r="H7" s="16" t="inlineStr">
        <is>
          <t>Факт: среднее апр-июнь 2026 = (11899.14+8690.51+11199.94)/3, из reports/blinhaus-total-sales-apr-may-jun-2026.xlsx (13.07.2026)</t>
        </is>
      </c>
    </row>
    <row r="8" ht="16" customHeight="1">
      <c r="A8" s="17" t="inlineStr"/>
      <c r="B8" s="18" t="inlineStr">
        <is>
          <t xml:space="preserve">  Доставка наборов заморозки</t>
        </is>
      </c>
      <c r="C8" s="13" t="n">
        <v>2116</v>
      </c>
      <c r="D8" s="13" t="n">
        <v>2116</v>
      </c>
      <c r="E8" s="14">
        <f>IF(C12=0,"",C8/C12)</f>
        <v/>
      </c>
      <c r="F8" s="14">
        <f>IF(D12=0,"",D8/D12)</f>
        <v/>
      </c>
      <c r="G8" s="19" t="inlineStr">
        <is>
          <t>Оба</t>
        </is>
      </c>
      <c r="H8" s="20" t="inlineStr">
        <is>
          <t>Факт: среднее апр-июнь 2026 = (3142.94+1003.59+2200)/3, из reports/blinhaus-total-sales-apr-may-jun-2026.xlsx (13.07.2026)</t>
        </is>
      </c>
    </row>
    <row r="9" ht="16" customHeight="1">
      <c r="A9" s="11" t="inlineStr"/>
      <c r="B9" s="12" t="inlineStr">
        <is>
          <t xml:space="preserve">  Foodora / Lieferando / Wolt</t>
        </is>
      </c>
      <c r="C9" s="13" t="n">
        <v>985</v>
      </c>
      <c r="D9" s="13" t="n">
        <v>985</v>
      </c>
      <c r="E9" s="14">
        <f>IF(C12=0,"",C9/C12)</f>
        <v/>
      </c>
      <c r="F9" s="14">
        <f>IF(D12=0,"",D9/D12)</f>
        <v/>
      </c>
      <c r="G9" s="15" t="inlineStr">
        <is>
          <t>Оба</t>
        </is>
      </c>
      <c r="H9" s="16" t="inlineStr">
        <is>
          <t>Факт (частично оценочно): среднее апр-июнь 2026 = (1029.87+1004.09+921.50)/3, из reports/blinhaus-total-sales-apr-may-jun-2026.xlsx (13.07.2026)</t>
        </is>
      </c>
    </row>
    <row r="10" ht="16" customHeight="1">
      <c r="A10" s="17" t="inlineStr"/>
      <c r="B10" s="18" t="inlineStr">
        <is>
          <t xml:space="preserve">  Кейтеринг / мероприятия</t>
        </is>
      </c>
      <c r="C10" s="13" t="n">
        <v>0</v>
      </c>
      <c r="D10" s="13" t="n">
        <v>0</v>
      </c>
      <c r="E10" s="14">
        <f>IF(C12=0,"",C10/C12)</f>
        <v/>
      </c>
      <c r="F10" s="14">
        <f>IF(D12=0,"",D10/D12)</f>
        <v/>
      </c>
      <c r="G10" s="19" t="inlineStr">
        <is>
          <t>Оба</t>
        </is>
      </c>
      <c r="H10" s="20" t="inlineStr">
        <is>
          <t>Разовые заказы на вынос/мероприятия</t>
        </is>
      </c>
    </row>
    <row r="11" ht="16" customHeight="1">
      <c r="A11" s="11" t="inlineStr"/>
      <c r="B11" s="12" t="inlineStr">
        <is>
          <t xml:space="preserve">  Прочее</t>
        </is>
      </c>
      <c r="C11" s="13" t="n">
        <v>0</v>
      </c>
      <c r="D11" s="13" t="n">
        <v>0</v>
      </c>
      <c r="E11" s="14">
        <f>IF(C12=0,"",C11/C12)</f>
        <v/>
      </c>
      <c r="F11" s="14">
        <f>IF(D12=0,"",D11/D12)</f>
        <v/>
      </c>
      <c r="G11" s="15" t="inlineStr">
        <is>
          <t>Оба</t>
        </is>
      </c>
      <c r="H11" s="16" t="inlineStr"/>
    </row>
    <row r="12" ht="18" customHeight="1">
      <c r="A12" s="21" t="n"/>
      <c r="B12" s="22" t="inlineStr">
        <is>
          <t>ИТОГО ВЫРУЧКА</t>
        </is>
      </c>
      <c r="C12" s="23">
        <f>SUM(C7:C11)</f>
        <v/>
      </c>
      <c r="D12" s="23">
        <f>SUM(D7:D11)</f>
        <v/>
      </c>
      <c r="E12" s="24" t="inlineStr">
        <is>
          <t>100 %</t>
        </is>
      </c>
      <c r="F12" s="24" t="inlineStr">
        <is>
          <t>100 %</t>
        </is>
      </c>
      <c r="G12" s="21" t="n"/>
      <c r="H12" s="21" t="n"/>
    </row>
    <row r="14" ht="20" customHeight="1">
      <c r="A14" s="9" t="inlineStr"/>
      <c r="B14" s="10" t="inlineStr">
        <is>
          <t>СЕБЕСТОИМОСТЬ / ПЕРЕМЕННЫЕ ЗАТРАТЫ</t>
        </is>
      </c>
      <c r="C14" s="9" t="inlineStr"/>
      <c r="D14" s="9" t="inlineStr"/>
      <c r="E14" s="9" t="inlineStr"/>
      <c r="F14" s="9" t="inlineStr"/>
      <c r="G14" s="9" t="inlineStr"/>
      <c r="H14" s="9" t="inlineStr"/>
    </row>
    <row r="15" ht="16" customHeight="1">
      <c r="A15" s="11" t="inlineStr"/>
      <c r="B15" s="12" t="inlineStr">
        <is>
          <t xml:space="preserve">  Продукт (% выручки кафе) — закупка у производства Братислава</t>
        </is>
      </c>
      <c r="C15" s="25" t="n">
        <v>0.35</v>
      </c>
      <c r="D15" s="25" t="n">
        <v>0.4</v>
      </c>
      <c r="E15" s="11" t="inlineStr"/>
      <c r="F15" s="11" t="inlineStr"/>
      <c r="G15" s="15" t="inlineStr">
        <is>
          <t>Оба</t>
        </is>
      </c>
      <c r="H15" s="16" t="inlineStr">
        <is>
          <t>% выручки кафе — закупка у производства (Братислава)</t>
        </is>
      </c>
    </row>
    <row r="16" ht="16" customHeight="1">
      <c r="A16" s="17" t="inlineStr"/>
      <c r="B16" s="17" t="inlineStr">
        <is>
          <t xml:space="preserve">  Себестоимость продукта — сумма</t>
        </is>
      </c>
      <c r="C16" s="26">
        <f>C7*C15</f>
        <v/>
      </c>
      <c r="D16" s="26">
        <f>D7*D15</f>
        <v/>
      </c>
      <c r="E16" s="14">
        <f>IF(C12=0,"",C16/C12)</f>
        <v/>
      </c>
      <c r="F16" s="14">
        <f>IF(D12=0,"",D16/D12)</f>
        <v/>
      </c>
      <c r="G16" s="19" t="inlineStr">
        <is>
          <t>авто</t>
        </is>
      </c>
      <c r="H16" s="17" t="inlineStr"/>
    </row>
    <row r="17" ht="16" customHeight="1">
      <c r="A17" s="17" t="inlineStr"/>
      <c r="B17" s="18" t="inlineStr">
        <is>
          <t xml:space="preserve">  Напитки (% выручки кафе) — кофе, чай, соки</t>
        </is>
      </c>
      <c r="C17" s="25" t="n">
        <v>0.05</v>
      </c>
      <c r="D17" s="25" t="n">
        <v>0.05</v>
      </c>
      <c r="E17" s="17" t="inlineStr"/>
      <c r="F17" s="17" t="inlineStr"/>
      <c r="G17" s="19" t="inlineStr">
        <is>
          <t>Оба</t>
        </is>
      </c>
      <c r="H17" s="20" t="inlineStr">
        <is>
          <t>% от выручки кафе</t>
        </is>
      </c>
    </row>
    <row r="18" ht="16" customHeight="1">
      <c r="A18" s="11" t="inlineStr"/>
      <c r="B18" s="11" t="inlineStr">
        <is>
          <t xml:space="preserve">  Напитки — сумма</t>
        </is>
      </c>
      <c r="C18" s="26">
        <f>C7*C17</f>
        <v/>
      </c>
      <c r="D18" s="26">
        <f>D7*D17</f>
        <v/>
      </c>
      <c r="E18" s="14">
        <f>IF(C12=0,"",C18/C12)</f>
        <v/>
      </c>
      <c r="F18" s="14">
        <f>IF(D12=0,"",D18/D12)</f>
        <v/>
      </c>
      <c r="G18" s="15" t="inlineStr">
        <is>
          <t>авто</t>
        </is>
      </c>
      <c r="H18" s="11" t="inlineStr"/>
    </row>
    <row r="19" ht="16" customHeight="1">
      <c r="A19" s="17" t="inlineStr"/>
      <c r="B19" s="18" t="inlineStr">
        <is>
          <t xml:space="preserve">  Комиссия платформ Foodora / Lieferando / Wolt (%)</t>
        </is>
      </c>
      <c r="C19" s="25" t="n">
        <v>0.3</v>
      </c>
      <c r="D19" s="25" t="n">
        <v>0.3</v>
      </c>
      <c r="E19" s="17" t="inlineStr"/>
      <c r="F19" s="17" t="inlineStr"/>
      <c r="G19" s="19" t="inlineStr">
        <is>
          <t>Оба</t>
        </is>
      </c>
      <c r="H19" s="20" t="inlineStr">
        <is>
          <t>Комиссия Foodora/Wolt/Lieferando</t>
        </is>
      </c>
    </row>
    <row r="20" ht="16" customHeight="1">
      <c r="A20" s="11" t="inlineStr"/>
      <c r="B20" s="11" t="inlineStr">
        <is>
          <t xml:space="preserve">  Комиссия платформ — сумма</t>
        </is>
      </c>
      <c r="C20" s="26">
        <f>C9*C19</f>
        <v/>
      </c>
      <c r="D20" s="26">
        <f>D9*D19</f>
        <v/>
      </c>
      <c r="E20" s="14">
        <f>IF(C12=0,"",C20/C12)</f>
        <v/>
      </c>
      <c r="F20" s="14">
        <f>IF(D12=0,"",D20/D12)</f>
        <v/>
      </c>
      <c r="G20" s="15" t="inlineStr">
        <is>
          <t>авто</t>
        </is>
      </c>
      <c r="H20" s="11" t="inlineStr"/>
    </row>
    <row r="21" ht="16" customHeight="1">
      <c r="A21" s="17" t="inlineStr"/>
      <c r="B21" s="18" t="inlineStr">
        <is>
          <t xml:space="preserve">  Упаковка / одноразовая посуда / расходники</t>
        </is>
      </c>
      <c r="C21" s="13" t="n">
        <v>350</v>
      </c>
      <c r="D21" s="13" t="n">
        <v>300</v>
      </c>
      <c r="E21" s="17" t="inlineStr"/>
      <c r="F21" s="17" t="inlineStr"/>
      <c r="G21" s="19" t="inlineStr">
        <is>
          <t>Оба</t>
        </is>
      </c>
      <c r="H21" s="20" t="inlineStr">
        <is>
          <t>Упаковка, одноразовая посуда, расходники</t>
        </is>
      </c>
    </row>
    <row r="22" ht="18" customHeight="1">
      <c r="A22" s="27" t="n"/>
      <c r="B22" s="28" t="inlineStr">
        <is>
          <t>ИТОГО ПЕРЕМЕННЫЕ (COGS + напитки + комиссии + упаковка)</t>
        </is>
      </c>
      <c r="C22" s="29">
        <f>C16+C18+C20+C21</f>
        <v/>
      </c>
      <c r="D22" s="29">
        <f>D16+D18+D20+D21</f>
        <v/>
      </c>
      <c r="E22" s="30">
        <f>IF(C12=0,"",C22/C12)</f>
        <v/>
      </c>
      <c r="F22" s="30">
        <f>IF(D12=0,"",D22/D12)</f>
        <v/>
      </c>
      <c r="G22" s="27" t="n"/>
      <c r="H22" s="27" t="n"/>
    </row>
    <row r="23" ht="20" customHeight="1">
      <c r="A23" s="21" t="n"/>
      <c r="B23" s="22" t="inlineStr">
        <is>
          <t>ВАЛОВАЯ ПРИБЫЛЬ</t>
        </is>
      </c>
      <c r="C23" s="23">
        <f>C12-C22</f>
        <v/>
      </c>
      <c r="D23" s="23">
        <f>D12-D22</f>
        <v/>
      </c>
      <c r="E23" s="31">
        <f>IF(C12=0,"",C23/C12)</f>
        <v/>
      </c>
      <c r="F23" s="31">
        <f>IF(D12=0,"",D23/D12)</f>
        <v/>
      </c>
      <c r="G23" s="21" t="n"/>
      <c r="H23" s="21" t="n"/>
    </row>
    <row r="25" ht="20" customHeight="1">
      <c r="A25" s="9" t="inlineStr"/>
      <c r="B25" s="10" t="inlineStr">
        <is>
          <t>ПЕРСОНАЛ  (стоимость работодателя = брутто + Lohnnebenkosten ≈ 38%)</t>
        </is>
      </c>
      <c r="C25" s="9" t="inlineStr"/>
      <c r="D25" s="9" t="inlineStr"/>
      <c r="E25" s="9" t="inlineStr"/>
      <c r="F25" s="9" t="inlineStr"/>
      <c r="G25" s="9" t="inlineStr"/>
      <c r="H25" s="9" t="inlineStr"/>
    </row>
    <row r="26" ht="16" customHeight="1">
      <c r="A26" s="11" t="inlineStr"/>
      <c r="B26" s="12" t="inlineStr">
        <is>
          <t xml:space="preserve">  Pavlo Ryuchuk (Паша, директор + доставка)</t>
        </is>
      </c>
      <c r="C26" s="13" t="n">
        <v>2686.68</v>
      </c>
      <c r="D26" s="13" t="n">
        <v>2686.68</v>
      </c>
      <c r="E26" s="11" t="inlineStr"/>
      <c r="F26" s="11" t="inlineStr"/>
      <c r="G26" s="15" t="inlineStr">
        <is>
          <t>Оба</t>
        </is>
      </c>
      <c r="H26" s="16" t="inlineStr">
        <is>
          <t>Директор GmbH + курьер доставки; брутто 1300€, бонус 888.90€</t>
        </is>
      </c>
    </row>
    <row r="27" ht="16" customHeight="1">
      <c r="A27" s="17" t="inlineStr"/>
      <c r="B27" s="18" t="inlineStr">
        <is>
          <t xml:space="preserve">  Svitlana Baehtova (зальщик / повар)</t>
        </is>
      </c>
      <c r="C27" s="13" t="n">
        <v>2296.38</v>
      </c>
      <c r="D27" s="13" t="n">
        <v>2296.38</v>
      </c>
      <c r="E27" s="17" t="inlineStr"/>
      <c r="F27" s="17" t="inlineStr"/>
      <c r="G27" s="19" t="inlineStr">
        <is>
          <t>Оба</t>
        </is>
      </c>
      <c r="H27" s="20" t="inlineStr">
        <is>
          <t>Брутто 982.40€, бонус 1037.90€; уточнить роль</t>
        </is>
      </c>
    </row>
    <row r="28" ht="16" customHeight="1">
      <c r="A28" s="11" t="inlineStr"/>
      <c r="B28" s="12" t="inlineStr">
        <is>
          <t xml:space="preserve">  Sovochenko Iryna (зальщик / сменщик)</t>
        </is>
      </c>
      <c r="C28" s="13" t="n">
        <v>1922.38</v>
      </c>
      <c r="D28" s="13" t="n">
        <v>1922.38</v>
      </c>
      <c r="E28" s="11" t="inlineStr"/>
      <c r="F28" s="11" t="inlineStr"/>
      <c r="G28" s="15" t="inlineStr">
        <is>
          <t>Оба</t>
        </is>
      </c>
      <c r="H28" s="16" t="inlineStr">
        <is>
          <t>Брутто 1070.25€, бонус 623.90€; уточнить роль</t>
        </is>
      </c>
    </row>
    <row r="29" ht="16" customHeight="1">
      <c r="A29" s="17" t="inlineStr"/>
      <c r="B29" s="18" t="inlineStr">
        <is>
          <t xml:space="preserve">  Natalia Ryuchuk (Наташа, повар)</t>
        </is>
      </c>
      <c r="C29" s="13" t="n">
        <v>2406.67</v>
      </c>
      <c r="D29" s="13" t="n">
        <v>0</v>
      </c>
      <c r="E29" s="17" t="inlineStr"/>
      <c r="F29" s="17" t="inlineStr"/>
      <c r="G29" s="19" t="inlineStr">
        <is>
          <t>Только текущая</t>
        </is>
      </c>
      <c r="H29" s="20" t="inlineStr">
        <is>
          <t>УБРАТЬ в опт. модели — продукт идёт готовым из Братиславы; бонус 1479€</t>
        </is>
      </c>
    </row>
    <row r="30" ht="18" customHeight="1">
      <c r="A30" s="32" t="n"/>
      <c r="B30" s="33" t="inlineStr">
        <is>
          <t>ИТОГО ФОТ (персонал)</t>
        </is>
      </c>
      <c r="C30" s="34">
        <f>SUM(C26:C29)</f>
        <v/>
      </c>
      <c r="D30" s="34">
        <f>SUM(D26:D29)</f>
        <v/>
      </c>
      <c r="E30" s="35">
        <f>IF(C12=0,"",C30/C12)</f>
        <v/>
      </c>
      <c r="F30" s="35">
        <f>IF(D12=0,"",D30/D12)</f>
        <v/>
      </c>
      <c r="G30" s="32" t="n"/>
      <c r="H30" s="32" t="n"/>
    </row>
    <row r="32" ht="20" customHeight="1">
      <c r="A32" s="9" t="inlineStr"/>
      <c r="B32" s="10" t="inlineStr">
        <is>
          <t>МАРКЕТИНГ</t>
        </is>
      </c>
      <c r="C32" s="9" t="inlineStr"/>
      <c r="D32" s="9" t="inlineStr"/>
      <c r="E32" s="9" t="inlineStr"/>
      <c r="F32" s="9" t="inlineStr"/>
      <c r="G32" s="9" t="inlineStr"/>
      <c r="H32" s="9" t="inlineStr"/>
    </row>
    <row r="33" ht="16" customHeight="1">
      <c r="A33" s="11" t="inlineStr"/>
      <c r="B33" s="12" t="inlineStr">
        <is>
          <t xml:space="preserve">  Контент (фото/видео/SMM — Андрей)</t>
        </is>
      </c>
      <c r="C33" s="13" t="n">
        <v>1000</v>
      </c>
      <c r="D33" s="13" t="n">
        <v>1000</v>
      </c>
      <c r="E33" s="11" t="inlineStr"/>
      <c r="F33" s="11" t="inlineStr"/>
      <c r="G33" s="15" t="inlineStr">
        <is>
          <t>Фиксированная</t>
        </is>
      </c>
      <c r="H33" s="16" t="inlineStr">
        <is>
          <t>Фиксированная ставка — подтверждено Анатолием</t>
        </is>
      </c>
    </row>
    <row r="34" ht="16" customHeight="1">
      <c r="A34" s="17" t="inlineStr"/>
      <c r="B34" s="18" t="inlineStr">
        <is>
          <t xml:space="preserve">  Ведение таргетированной рекламы (Андрей)</t>
        </is>
      </c>
      <c r="C34" s="13" t="n">
        <v>500</v>
      </c>
      <c r="D34" s="13" t="n">
        <v>500</v>
      </c>
      <c r="E34" s="17" t="inlineStr"/>
      <c r="F34" s="17" t="inlineStr"/>
      <c r="G34" s="19" t="inlineStr">
        <is>
          <t>Фиксированная</t>
        </is>
      </c>
      <c r="H34" s="20" t="inlineStr">
        <is>
          <t>Ставка за запуск и ведение кампаний — подтверждено</t>
        </is>
      </c>
    </row>
    <row r="35" ht="16" customHeight="1">
      <c r="A35" s="11" t="inlineStr"/>
      <c r="B35" s="12" t="inlineStr">
        <is>
          <t xml:space="preserve">  Рекламный бюджет (Meta, 30 €/день)</t>
        </is>
      </c>
      <c r="C35" s="13" t="n">
        <v>900</v>
      </c>
      <c r="D35" s="13" t="n">
        <v>900</v>
      </c>
      <c r="E35" s="11" t="inlineStr"/>
      <c r="F35" s="11" t="inlineStr"/>
      <c r="G35" s="15" t="inlineStr">
        <is>
          <t>Фиксированная</t>
        </is>
      </c>
      <c r="H35" s="16" t="inlineStr">
        <is>
          <t>30 €/день × 30 = 900 €/мес; итого с Андреем = 1600 €</t>
        </is>
      </c>
    </row>
    <row r="36" ht="16" customHeight="1">
      <c r="A36" s="17" t="inlineStr"/>
      <c r="B36" s="18" t="inlineStr">
        <is>
          <t xml:space="preserve">  10% Андрея с оборота доставки (переменная)</t>
        </is>
      </c>
      <c r="C36" s="13" t="n">
        <v>220</v>
      </c>
      <c r="D36" s="13" t="n">
        <v>220</v>
      </c>
      <c r="E36" s="17" t="inlineStr"/>
      <c r="F36" s="17" t="inlineStr"/>
      <c r="G36" s="19" t="inlineStr">
        <is>
          <t>Переменная</t>
        </is>
      </c>
      <c r="H36" s="20" t="inlineStr">
        <is>
          <t>10% от выручки доставки заморозки — подтверждено Анатолием</t>
        </is>
      </c>
    </row>
    <row r="37" ht="18" customHeight="1">
      <c r="A37" s="27" t="n"/>
      <c r="B37" s="28" t="inlineStr">
        <is>
          <t>ИТОГО МАРКЕТИНГ</t>
        </is>
      </c>
      <c r="C37" s="29">
        <f>SUM(C33:C36)</f>
        <v/>
      </c>
      <c r="D37" s="29">
        <f>SUM(D33:D36)</f>
        <v/>
      </c>
      <c r="E37" s="30">
        <f>IF(C12=0,"",C37/C12)</f>
        <v/>
      </c>
      <c r="F37" s="30">
        <f>IF(D12=0,"",D37/D12)</f>
        <v/>
      </c>
      <c r="G37" s="27" t="n"/>
      <c r="H37" s="27" t="n"/>
    </row>
    <row r="39" ht="20" customHeight="1">
      <c r="A39" s="9" t="inlineStr"/>
      <c r="B39" s="10" t="inlineStr">
        <is>
          <t>ФИКСИРОВАННЫЕ ОПЕРАЦИОННЫЕ РАСХОДЫ</t>
        </is>
      </c>
      <c r="C39" s="9" t="inlineStr"/>
      <c r="D39" s="9" t="inlineStr"/>
      <c r="E39" s="9" t="inlineStr"/>
      <c r="F39" s="9" t="inlineStr"/>
      <c r="G39" s="9" t="inlineStr"/>
      <c r="H39" s="9" t="inlineStr"/>
    </row>
    <row r="40" ht="16" customHeight="1">
      <c r="A40" s="11" t="inlineStr"/>
      <c r="B40" s="12" t="inlineStr">
        <is>
          <t xml:space="preserve">  Аренда (Schönbrunner Str. 129, 1050 Wien)</t>
        </is>
      </c>
      <c r="C40" s="13" t="n">
        <v>1500</v>
      </c>
      <c r="D40" s="13" t="n">
        <v>1500</v>
      </c>
      <c r="E40" s="11" t="inlineStr"/>
      <c r="F40" s="11" t="inlineStr"/>
      <c r="G40" s="15" t="inlineStr">
        <is>
          <t>Оба</t>
        </is>
      </c>
      <c r="H40" s="16" t="inlineStr">
        <is>
          <t>Реальная сумма, названа на встрече 13.07.2026</t>
        </is>
      </c>
    </row>
    <row r="41" ht="16" customHeight="1">
      <c r="A41" s="17" t="inlineStr"/>
      <c r="B41" s="18" t="inlineStr">
        <is>
          <t xml:space="preserve">  Коммунальные услуги (Betriebskosten)</t>
        </is>
      </c>
      <c r="C41" s="13" t="n">
        <v>749</v>
      </c>
      <c r="D41" s="13" t="n">
        <v>749</v>
      </c>
      <c r="E41" s="17" t="inlineStr"/>
      <c r="F41" s="17" t="inlineStr"/>
      <c r="G41" s="19" t="inlineStr">
        <is>
          <t>Оба</t>
        </is>
      </c>
      <c r="H41" s="20" t="inlineStr">
        <is>
          <t>Реальная сумма с встречи 13.07.2026; консолидирует то, что раньше было разбито на Strom/Gas/Internet</t>
        </is>
      </c>
    </row>
    <row r="42" ht="16" customHeight="1">
      <c r="A42" s="11" t="inlineStr"/>
      <c r="B42" s="12" t="inlineStr">
        <is>
          <t xml:space="preserve">  Электричество (Strom) — включено в коммунальные</t>
        </is>
      </c>
      <c r="C42" s="13" t="n">
        <v>0</v>
      </c>
      <c r="D42" s="13" t="n">
        <v>0</v>
      </c>
      <c r="E42" s="11" t="inlineStr"/>
      <c r="F42" s="11" t="inlineStr"/>
      <c r="G42" s="15" t="inlineStr">
        <is>
          <t>Оба</t>
        </is>
      </c>
      <c r="H42" s="16" t="inlineStr">
        <is>
          <t>Слито в Betriebskosten после уточнения 13.07.2026</t>
        </is>
      </c>
    </row>
    <row r="43" ht="16" customHeight="1">
      <c r="A43" s="17" t="inlineStr"/>
      <c r="B43" s="18" t="inlineStr">
        <is>
          <t xml:space="preserve">  Газ (Gas / Erdgas) — включено в коммунальные</t>
        </is>
      </c>
      <c r="C43" s="13" t="n">
        <v>0</v>
      </c>
      <c r="D43" s="13" t="n">
        <v>0</v>
      </c>
      <c r="E43" s="17" t="inlineStr"/>
      <c r="F43" s="17" t="inlineStr"/>
      <c r="G43" s="19" t="inlineStr">
        <is>
          <t>Оба</t>
        </is>
      </c>
      <c r="H43" s="20" t="inlineStr">
        <is>
          <t>Слито в Betriebskosten после уточнения 13.07.2026</t>
        </is>
      </c>
    </row>
    <row r="44" ht="16" customHeight="1">
      <c r="A44" s="11" t="inlineStr"/>
      <c r="B44" s="12" t="inlineStr">
        <is>
          <t xml:space="preserve">  Связь (интернет + телефон)</t>
        </is>
      </c>
      <c r="C44" s="13" t="n">
        <v>143</v>
      </c>
      <c r="D44" s="13" t="n">
        <v>143</v>
      </c>
      <c r="E44" s="11" t="inlineStr"/>
      <c r="F44" s="11" t="inlineStr"/>
      <c r="G44" s="15" t="inlineStr">
        <is>
          <t>Оба</t>
        </is>
      </c>
      <c r="H44" s="16" t="inlineStr">
        <is>
          <t>Реальная сумма от бухгалтера, уточнено 13.07.2026 — отдельная статья, не входит в Betriebskosten (ранее ошибочно считалась слитой)</t>
        </is>
      </c>
    </row>
    <row r="45" ht="16" customHeight="1">
      <c r="A45" s="17" t="inlineStr"/>
      <c r="B45" s="18" t="inlineStr">
        <is>
          <t xml:space="preserve">  Юридическое сопровождение (фирма)</t>
        </is>
      </c>
      <c r="C45" s="13" t="n">
        <v>261</v>
      </c>
      <c r="D45" s="13" t="n">
        <v>261</v>
      </c>
      <c r="E45" s="17" t="inlineStr"/>
      <c r="F45" s="17" t="inlineStr"/>
      <c r="G45" s="19" t="inlineStr">
        <is>
          <t>Оба</t>
        </is>
      </c>
      <c r="H45" s="20" t="inlineStr">
        <is>
          <t>Отдельная фирма, не Фридман; реальная сумма с встречи 13.07.2026</t>
        </is>
      </c>
    </row>
    <row r="46" ht="16" customHeight="1">
      <c r="A46" s="11" t="inlineStr"/>
      <c r="B46" s="12" t="inlineStr">
        <is>
          <t xml:space="preserve">  Лицензиат — Лев Фридман</t>
        </is>
      </c>
      <c r="C46" s="13" t="n">
        <v>1400</v>
      </c>
      <c r="D46" s="13" t="n">
        <v>1400</v>
      </c>
      <c r="E46" s="11" t="inlineStr"/>
      <c r="F46" s="11" t="inlineStr"/>
      <c r="G46" s="15" t="inlineStr">
        <is>
          <t>Оба</t>
        </is>
      </c>
      <c r="H46" s="16" t="inlineStr">
        <is>
          <t>Фридман не работает в кафе — платим только за то, что он оформлен как лицензиат (Gewerbeberechtigter) для GmbH. Сумма подтверждена: 1400€/мес. Раньше ошибочно объединялась с юрсопровождением под одной строкой 1362,59€/261€.</t>
        </is>
      </c>
    </row>
    <row r="47" ht="16" customHeight="1">
      <c r="A47" s="17" t="inlineStr"/>
      <c r="B47" s="18" t="inlineStr">
        <is>
          <t xml:space="preserve">  Бухгалтерия</t>
        </is>
      </c>
      <c r="C47" s="13" t="n">
        <v>723</v>
      </c>
      <c r="D47" s="13" t="n">
        <v>723</v>
      </c>
      <c r="E47" s="17" t="inlineStr"/>
      <c r="F47" s="17" t="inlineStr"/>
      <c r="G47" s="19" t="inlineStr">
        <is>
          <t>Оба</t>
        </is>
      </c>
      <c r="H47" s="20" t="inlineStr">
        <is>
          <t>Новая договорная цена в месяц — уточнено бухгалтером 13.07.2026 (было 588€)</t>
        </is>
      </c>
    </row>
    <row r="48" ht="16" customHeight="1">
      <c r="A48" s="11" t="inlineStr"/>
      <c r="B48" s="12" t="inlineStr">
        <is>
          <t xml:space="preserve">  Служба онлайн-бронирования столиков</t>
        </is>
      </c>
      <c r="C48" s="13" t="n">
        <v>220</v>
      </c>
      <c r="D48" s="13" t="n">
        <v>220</v>
      </c>
      <c r="E48" s="11" t="inlineStr"/>
      <c r="F48" s="11" t="inlineStr"/>
      <c r="G48" s="15" t="inlineStr">
        <is>
          <t>Оба</t>
        </is>
      </c>
      <c r="H48" s="16" t="inlineStr">
        <is>
          <t>Новая статья, уточнено бухгалтером 13.07.2026</t>
        </is>
      </c>
    </row>
    <row r="49" ht="16" customHeight="1">
      <c r="A49" s="17" t="inlineStr"/>
      <c r="B49" s="18" t="inlineStr">
        <is>
          <t xml:space="preserve">  Страховка (Versicherung)</t>
        </is>
      </c>
      <c r="C49" s="13" t="n">
        <v>250</v>
      </c>
      <c r="D49" s="13" t="n">
        <v>250</v>
      </c>
      <c r="E49" s="17" t="inlineStr"/>
      <c r="F49" s="17" t="inlineStr"/>
      <c r="G49" s="19" t="inlineStr">
        <is>
          <t>Оба</t>
        </is>
      </c>
      <c r="H49" s="20" t="inlineStr">
        <is>
          <t>Haftpflicht + Inventarversicherung — уточнить</t>
        </is>
      </c>
    </row>
    <row r="50" ht="16" customHeight="1">
      <c r="A50" s="11" t="inlineStr"/>
      <c r="B50" s="12" t="inlineStr">
        <is>
          <t xml:space="preserve">  Банковские расходы (Bankgebühren)</t>
        </is>
      </c>
      <c r="C50" s="13" t="n">
        <v>80</v>
      </c>
      <c r="D50" s="13" t="n">
        <v>80</v>
      </c>
      <c r="E50" s="11" t="inlineStr"/>
      <c r="F50" s="11" t="inlineStr"/>
      <c r="G50" s="15" t="inlineStr">
        <is>
          <t>Оба</t>
        </is>
      </c>
      <c r="H50" s="16" t="inlineStr">
        <is>
          <t>Счёт GmbH + эквайринг — уточнить</t>
        </is>
      </c>
    </row>
    <row r="51" ht="16" customHeight="1">
      <c r="A51" s="17" t="inlineStr"/>
      <c r="B51" s="18" t="inlineStr">
        <is>
          <t xml:space="preserve">  Кассовая система / POS / Registrierkassa</t>
        </is>
      </c>
      <c r="C51" s="13" t="n">
        <v>112</v>
      </c>
      <c r="D51" s="13" t="n">
        <v>112</v>
      </c>
      <c r="E51" s="17" t="inlineStr"/>
      <c r="F51" s="17" t="inlineStr"/>
      <c r="G51" s="19" t="inlineStr">
        <is>
          <t>Оба</t>
        </is>
      </c>
      <c r="H51" s="20" t="inlineStr">
        <is>
          <t>Лицензия кассовых аппаратов — 112€/мес за 2 штуки, уточнено бухгалтером 13.07.2026 (было оценено 60€)</t>
        </is>
      </c>
    </row>
    <row r="52" ht="16" customHeight="1">
      <c r="A52" s="11" t="inlineStr"/>
      <c r="B52" s="12" t="inlineStr">
        <is>
          <t xml:space="preserve">  WKO / Gewerbeschein / Kammerumlage</t>
        </is>
      </c>
      <c r="C52" s="13" t="n">
        <v>80</v>
      </c>
      <c r="D52" s="13" t="n">
        <v>80</v>
      </c>
      <c r="E52" s="11" t="inlineStr"/>
      <c r="F52" s="11" t="inlineStr"/>
      <c r="G52" s="15" t="inlineStr">
        <is>
          <t>Оба</t>
        </is>
      </c>
      <c r="H52" s="16" t="inlineStr">
        <is>
          <t>Членство в торговой палате — уточнить</t>
        </is>
      </c>
    </row>
    <row r="53" ht="16" customHeight="1">
      <c r="A53" s="17" t="inlineStr"/>
      <c r="B53" s="18" t="inlineStr">
        <is>
          <t xml:space="preserve">  Чистящие средства / гигиена</t>
        </is>
      </c>
      <c r="C53" s="13" t="n">
        <v>150</v>
      </c>
      <c r="D53" s="13" t="n">
        <v>150</v>
      </c>
      <c r="E53" s="17" t="inlineStr"/>
      <c r="F53" s="17" t="inlineStr"/>
      <c r="G53" s="19" t="inlineStr">
        <is>
          <t>Оба</t>
        </is>
      </c>
      <c r="H53" s="20" t="inlineStr">
        <is>
          <t>Уточнить</t>
        </is>
      </c>
    </row>
    <row r="54" ht="16" customHeight="1">
      <c r="A54" s="11" t="inlineStr"/>
      <c r="B54" s="12" t="inlineStr">
        <is>
          <t xml:space="preserve">  Форма / спецодежда</t>
        </is>
      </c>
      <c r="C54" s="13" t="n">
        <v>50</v>
      </c>
      <c r="D54" s="13" t="n">
        <v>50</v>
      </c>
      <c r="E54" s="11" t="inlineStr"/>
      <c r="F54" s="11" t="inlineStr"/>
      <c r="G54" s="15" t="inlineStr">
        <is>
          <t>Оба</t>
        </is>
      </c>
      <c r="H54" s="16" t="inlineStr">
        <is>
          <t>Уточнить</t>
        </is>
      </c>
    </row>
    <row r="55" ht="16" customHeight="1">
      <c r="A55" s="17" t="inlineStr"/>
      <c r="B55" s="18" t="inlineStr">
        <is>
          <t xml:space="preserve">  Ремонт и техобслуживание оборудования</t>
        </is>
      </c>
      <c r="C55" s="13" t="n">
        <v>150</v>
      </c>
      <c r="D55" s="13" t="n">
        <v>150</v>
      </c>
      <c r="E55" s="17" t="inlineStr"/>
      <c r="F55" s="17" t="inlineStr"/>
      <c r="G55" s="19" t="inlineStr">
        <is>
          <t>Оба</t>
        </is>
      </c>
      <c r="H55" s="20" t="inlineStr">
        <is>
          <t>Уточнить</t>
        </is>
      </c>
    </row>
    <row r="56" ht="16" customHeight="1">
      <c r="A56" s="11" t="inlineStr"/>
      <c r="B56" s="12" t="inlineStr">
        <is>
          <t xml:space="preserve">  Вывоз мусора (Müllentsorgung)</t>
        </is>
      </c>
      <c r="C56" s="13" t="n">
        <v>80</v>
      </c>
      <c r="D56" s="13" t="n">
        <v>80</v>
      </c>
      <c r="E56" s="11" t="inlineStr"/>
      <c r="F56" s="11" t="inlineStr"/>
      <c r="G56" s="15" t="inlineStr">
        <is>
          <t>Оба</t>
        </is>
      </c>
      <c r="H56" s="16" t="inlineStr">
        <is>
          <t>Уточнить</t>
        </is>
      </c>
    </row>
    <row r="57" ht="16" customHeight="1">
      <c r="A57" s="17" t="inlineStr"/>
      <c r="B57" s="18" t="inlineStr">
        <is>
          <t xml:space="preserve">  Канцтовары / расходники</t>
        </is>
      </c>
      <c r="C57" s="13" t="n">
        <v>63</v>
      </c>
      <c r="D57" s="13" t="n">
        <v>63</v>
      </c>
      <c r="E57" s="17" t="inlineStr"/>
      <c r="F57" s="17" t="inlineStr"/>
      <c r="G57" s="19" t="inlineStr">
        <is>
          <t>Оба</t>
        </is>
      </c>
      <c r="H57" s="20" t="inlineStr">
        <is>
          <t>Реальная сумма с встречи 13.07.2026 (была оценена в 300€)</t>
        </is>
      </c>
    </row>
    <row r="58" ht="18" customHeight="1">
      <c r="A58" s="36" t="n"/>
      <c r="B58" s="37" t="inlineStr">
        <is>
          <t>ИТОГО ФИКСИРОВАННЫЕ РАСХОДЫ</t>
        </is>
      </c>
      <c r="C58" s="38">
        <f>SUM(C40:C57)</f>
        <v/>
      </c>
      <c r="D58" s="38">
        <f>SUM(D40:D57)</f>
        <v/>
      </c>
      <c r="E58" s="39">
        <f>IF(C12=0,"",C58/C12)</f>
        <v/>
      </c>
      <c r="F58" s="39">
        <f>IF(D12=0,"",D58/D12)</f>
        <v/>
      </c>
      <c r="G58" s="36" t="n"/>
      <c r="H58" s="36" t="n"/>
    </row>
    <row r="60" ht="22" customHeight="1">
      <c r="A60" s="40" t="inlineStr"/>
      <c r="B60" s="41" t="inlineStr">
        <is>
          <t>P&amp;L — ИТОГОВЫЙ РАСЧЁТ</t>
        </is>
      </c>
      <c r="C60" s="40" t="inlineStr"/>
      <c r="D60" s="40" t="inlineStr"/>
      <c r="E60" s="40" t="inlineStr"/>
      <c r="F60" s="40" t="inlineStr"/>
      <c r="G60" s="40" t="inlineStr"/>
      <c r="H60" s="40" t="inlineStr"/>
    </row>
    <row r="61" ht="18" customHeight="1">
      <c r="A61" s="42" t="n"/>
      <c r="B61" s="40" t="inlineStr">
        <is>
          <t>Выручка</t>
        </is>
      </c>
      <c r="C61" s="43">
        <f>C12</f>
        <v/>
      </c>
      <c r="D61" s="43">
        <f>D12</f>
        <v/>
      </c>
      <c r="E61" s="44">
        <f>IF(C12=0,"",C61/C12)</f>
        <v/>
      </c>
      <c r="F61" s="44">
        <f>IF(D12=0,"",D61/D12)</f>
        <v/>
      </c>
      <c r="G61" s="42" t="n"/>
      <c r="H61" s="42" t="n"/>
    </row>
    <row r="62" ht="18" customHeight="1">
      <c r="A62" s="42" t="n"/>
      <c r="B62" s="40" t="inlineStr">
        <is>
          <t>− Переменные затраты</t>
        </is>
      </c>
      <c r="C62" s="43">
        <f>-C22</f>
        <v/>
      </c>
      <c r="D62" s="43">
        <f>-D22</f>
        <v/>
      </c>
      <c r="E62" s="44">
        <f>IF(C12=0,"",C62/C12)</f>
        <v/>
      </c>
      <c r="F62" s="44">
        <f>IF(D12=0,"",D62/D12)</f>
        <v/>
      </c>
      <c r="G62" s="42" t="n"/>
      <c r="H62" s="42" t="n"/>
    </row>
    <row r="63" ht="18" customHeight="1">
      <c r="A63" s="21" t="n"/>
      <c r="B63" s="22">
        <f> Валовая прибыль</f>
        <v/>
      </c>
      <c r="C63" s="23">
        <f>C23</f>
        <v/>
      </c>
      <c r="D63" s="23">
        <f>D23</f>
        <v/>
      </c>
      <c r="E63" s="31">
        <f>IF(C12=0,"",C63/C12)</f>
        <v/>
      </c>
      <c r="F63" s="31">
        <f>IF(D12=0,"",D63/D12)</f>
        <v/>
      </c>
      <c r="G63" s="21" t="n"/>
      <c r="H63" s="21" t="n"/>
    </row>
    <row r="64" ht="18" customHeight="1">
      <c r="A64" s="42" t="n"/>
      <c r="B64" s="40" t="inlineStr">
        <is>
          <t>− ФОТ (персонал)</t>
        </is>
      </c>
      <c r="C64" s="43">
        <f>-C30</f>
        <v/>
      </c>
      <c r="D64" s="43">
        <f>-D30</f>
        <v/>
      </c>
      <c r="E64" s="44">
        <f>IF(C12=0,"",C64/C12)</f>
        <v/>
      </c>
      <c r="F64" s="44">
        <f>IF(D12=0,"",D64/D12)</f>
        <v/>
      </c>
      <c r="G64" s="42" t="n"/>
      <c r="H64" s="42" t="n"/>
    </row>
    <row r="65" ht="18" customHeight="1">
      <c r="A65" s="42" t="n"/>
      <c r="B65" s="40" t="inlineStr">
        <is>
          <t>− Маркетинг</t>
        </is>
      </c>
      <c r="C65" s="43">
        <f>-C37</f>
        <v/>
      </c>
      <c r="D65" s="43">
        <f>-D37</f>
        <v/>
      </c>
      <c r="E65" s="44">
        <f>IF(C12=0,"",C65/C12)</f>
        <v/>
      </c>
      <c r="F65" s="44">
        <f>IF(D12=0,"",D65/D12)</f>
        <v/>
      </c>
      <c r="G65" s="42" t="n"/>
      <c r="H65" s="42" t="n"/>
    </row>
    <row r="66" ht="18" customHeight="1">
      <c r="A66" s="42" t="n"/>
      <c r="B66" s="40" t="inlineStr">
        <is>
          <t>− Фиксированные расходы</t>
        </is>
      </c>
      <c r="C66" s="43">
        <f>-C58</f>
        <v/>
      </c>
      <c r="D66" s="43">
        <f>-D58</f>
        <v/>
      </c>
      <c r="E66" s="44">
        <f>IF(C12=0,"",C66/C12)</f>
        <v/>
      </c>
      <c r="F66" s="44">
        <f>IF(D12=0,"",D66/D12)</f>
        <v/>
      </c>
      <c r="G66" s="42" t="n"/>
      <c r="H66" s="42" t="n"/>
    </row>
    <row r="67" ht="26" customHeight="1">
      <c r="A67" s="21" t="n"/>
      <c r="B67" s="45" t="inlineStr">
        <is>
          <t>EBITDA  (прибыль / убыток)</t>
        </is>
      </c>
      <c r="C67" s="46">
        <f>C12-C22-C30-C37-C58</f>
        <v/>
      </c>
      <c r="D67" s="46">
        <f>D12-D22-D30-D37-D58</f>
        <v/>
      </c>
      <c r="E67" s="47">
        <f>IF(C12=0,"",C67/C12)</f>
        <v/>
      </c>
      <c r="F67" s="47">
        <f>IF(D12=0,"",D67/D12)</f>
        <v/>
      </c>
      <c r="G67" s="21" t="n"/>
      <c r="H67" s="21" t="n"/>
    </row>
    <row r="69" ht="20" customHeight="1">
      <c r="A69" s="9" t="inlineStr"/>
      <c r="B69" s="10" t="inlineStr">
        <is>
          <t>ТОЧКА БЕЗУБЫТОЧНОСТИ</t>
        </is>
      </c>
      <c r="C69" s="9" t="inlineStr"/>
      <c r="D69" s="9" t="inlineStr"/>
      <c r="E69" s="9" t="inlineStr"/>
      <c r="F69" s="9" t="inlineStr"/>
      <c r="G69" s="9" t="inlineStr"/>
      <c r="H69" s="9" t="inlineStr"/>
    </row>
    <row r="70" ht="16" customHeight="1">
      <c r="A70" s="11" t="inlineStr"/>
      <c r="B70" s="11" t="inlineStr">
        <is>
          <t xml:space="preserve">  Постоянные затраты (ФОТ + маркетинг + фикс.)</t>
        </is>
      </c>
      <c r="C70" s="26">
        <f>C30+C37+C58</f>
        <v/>
      </c>
      <c r="D70" s="26">
        <f>D30+D37+D58</f>
        <v/>
      </c>
      <c r="E70" s="11" t="inlineStr"/>
      <c r="F70" s="11" t="inlineStr"/>
      <c r="G70" s="15" t="inlineStr">
        <is>
          <t>авто</t>
        </is>
      </c>
      <c r="H70" s="16" t="inlineStr"/>
    </row>
    <row r="71" ht="16" customHeight="1">
      <c r="A71" s="17" t="inlineStr"/>
      <c r="B71" s="17" t="inlineStr">
        <is>
          <t xml:space="preserve">  Валовая маржа</t>
        </is>
      </c>
      <c r="C71" s="48">
        <f>IF(C12=0,0,(C12-C22)/C12)</f>
        <v/>
      </c>
      <c r="D71" s="48">
        <f>IF(D12=0,0,(D12-D22)/D12)</f>
        <v/>
      </c>
      <c r="E71" s="17" t="inlineStr"/>
      <c r="F71" s="17" t="inlineStr"/>
      <c r="G71" s="19" t="inlineStr">
        <is>
          <t>авто</t>
        </is>
      </c>
      <c r="H71" s="20" t="inlineStr">
        <is>
          <t>1 − COGS% от выручки</t>
        </is>
      </c>
    </row>
    <row r="72" ht="18" customHeight="1">
      <c r="A72" s="11" t="inlineStr"/>
      <c r="B72" s="49" t="inlineStr">
        <is>
          <t xml:space="preserve">  Точка безубыточности — нужная выручка</t>
        </is>
      </c>
      <c r="C72" s="50">
        <f>IFERROR(IF(C71&lt;=0,"∞",C70/C71),"н/д")</f>
        <v/>
      </c>
      <c r="D72" s="50">
        <f>IFERROR(IF(D71&lt;=0,"∞",D70/D71),"н/д")</f>
        <v/>
      </c>
      <c r="E72" s="11" t="inlineStr"/>
      <c r="F72" s="11" t="inlineStr"/>
      <c r="G72" s="15" t="inlineStr">
        <is>
          <t>авто</t>
        </is>
      </c>
      <c r="H72" s="16" t="inlineStr">
        <is>
          <t>Минимальная выручка для нуля прибыли</t>
        </is>
      </c>
    </row>
    <row r="73" ht="16" customHeight="1">
      <c r="A73" s="17" t="inlineStr"/>
      <c r="B73" s="17" t="inlineStr">
        <is>
          <t xml:space="preserve">  Зазор (+ = плюс, − = убыток)</t>
        </is>
      </c>
      <c r="C73" s="26">
        <f>IFERROR(C12-C72,"")</f>
        <v/>
      </c>
      <c r="D73" s="26">
        <f>IFERROR(D12-D72,"")</f>
        <v/>
      </c>
      <c r="E73" s="17" t="inlineStr"/>
      <c r="F73" s="17" t="inlineStr"/>
      <c r="G73" s="19" t="inlineStr">
        <is>
          <t>авто</t>
        </is>
      </c>
      <c r="H73" s="20" t="inlineStr">
        <is>
          <t>Насколько ниже/выше нуля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2" customWidth="1" min="4" max="4"/>
    <col width="3" customWidth="1" min="5" max="5"/>
  </cols>
  <sheetData>
    <row r="1" ht="32" customHeight="1">
      <c r="A1" s="1" t="inlineStr"/>
      <c r="B1" s="51" t="inlineStr">
        <is>
          <t>BlinHaus Vienna — Партнёрство Анатолий / Андрей</t>
        </is>
      </c>
      <c r="C1" s="1" t="inlineStr"/>
      <c r="D1" s="1" t="inlineStr"/>
      <c r="E1" s="1" t="inlineStr"/>
    </row>
    <row r="2" ht="16" customHeight="1">
      <c r="A2" s="1" t="inlineStr"/>
      <c r="B2" s="4" t="inlineStr">
        <is>
          <t>GmbH — структура входа Андрея</t>
        </is>
      </c>
      <c r="C2" s="1" t="inlineStr"/>
      <c r="D2" s="1" t="inlineStr"/>
      <c r="E2" s="1" t="inlineStr"/>
    </row>
    <row r="4" ht="20" customHeight="1">
      <c r="A4" s="9" t="inlineStr"/>
      <c r="B4" s="10" t="inlineStr">
        <is>
          <t>ПАРАМЕТРЫ СДЕЛКИ</t>
        </is>
      </c>
      <c r="C4" s="9" t="inlineStr"/>
      <c r="D4" s="9" t="inlineStr"/>
      <c r="E4" s="9" t="inlineStr"/>
    </row>
    <row r="5" ht="18" customHeight="1">
      <c r="A5" s="17" t="inlineStr"/>
      <c r="B5" s="18" t="inlineStr">
        <is>
          <t>Оценка кафе (переуступка прав аренды, €)</t>
        </is>
      </c>
      <c r="C5" s="52" t="n">
        <v>30000</v>
      </c>
      <c r="D5" s="20" t="inlineStr">
        <is>
          <t>Согласовать с Анатолием; ориентир 30 000 €</t>
        </is>
      </c>
    </row>
    <row r="6" ht="18" customHeight="1">
      <c r="A6" s="11" t="inlineStr"/>
      <c r="B6" s="12" t="inlineStr">
        <is>
          <t>Доля Андрея при входе в GmbH (%)</t>
        </is>
      </c>
      <c r="C6" s="53" t="n">
        <v>0.5</v>
      </c>
      <c r="D6" s="16" t="inlineStr">
        <is>
          <t>% от оценки</t>
        </is>
      </c>
    </row>
    <row r="7" ht="18" customHeight="1">
      <c r="A7" s="17" t="inlineStr"/>
      <c r="B7" s="18" t="inlineStr">
        <is>
          <t>Инвестиция Андрея (авто)</t>
        </is>
      </c>
      <c r="C7" s="54">
        <f>C5*C6</f>
        <v/>
      </c>
      <c r="D7" s="20" t="inlineStr"/>
    </row>
    <row r="8" ht="18" customHeight="1">
      <c r="A8" s="11" t="inlineStr"/>
      <c r="B8" s="12" t="inlineStr">
        <is>
          <t>Анатолий возвращает 50% своих вложений (авто)</t>
        </is>
      </c>
      <c r="C8" s="54">
        <f>C7*0.5</f>
        <v/>
      </c>
      <c r="D8" s="16" t="inlineStr">
        <is>
          <t>Из общих инвестиций Анатолия ≈ 390 000 €</t>
        </is>
      </c>
    </row>
    <row r="9" ht="18" customHeight="1">
      <c r="A9" s="55" t="n"/>
      <c r="B9" s="55" t="n"/>
      <c r="C9" s="55" t="n"/>
      <c r="D9" s="55" t="n"/>
      <c r="E9" s="55" t="n"/>
    </row>
    <row r="10" ht="18" customHeight="1">
      <c r="A10" s="11" t="inlineStr"/>
      <c r="B10" s="12" t="inlineStr">
        <is>
          <t>Ежемесячный возврат из прибыли кафе (€)</t>
        </is>
      </c>
      <c r="C10" s="52" t="n">
        <v>1000</v>
      </c>
      <c r="D10" s="16" t="inlineStr">
        <is>
          <t>Вводить здесь — срок пересчитается</t>
        </is>
      </c>
    </row>
    <row r="11" ht="18" customHeight="1">
      <c r="A11" s="17" t="inlineStr"/>
      <c r="B11" s="18" t="inlineStr">
        <is>
          <t>Срок возврата (мес.) — авто</t>
        </is>
      </c>
      <c r="C11" s="56">
        <f>IFERROR(CEILING(C8/C10,1),"∞")</f>
        <v/>
      </c>
      <c r="D11" s="20" t="inlineStr"/>
    </row>
    <row r="12" ht="18" customHeight="1">
      <c r="A12" s="11" t="inlineStr"/>
      <c r="B12" s="12" t="inlineStr">
        <is>
          <t>Срок возврата (лет) — авто</t>
        </is>
      </c>
      <c r="C12" s="56">
        <f>IFERROR(C11/12,"")</f>
        <v/>
      </c>
      <c r="D12" s="16" t="inlineStr"/>
    </row>
    <row r="13" ht="18" customHeight="1">
      <c r="A13" s="55" t="n"/>
      <c r="B13" s="55" t="n"/>
      <c r="C13" s="55" t="n"/>
      <c r="D13" s="55" t="n"/>
      <c r="E13" s="55" t="n"/>
    </row>
    <row r="14" ht="18" customHeight="1">
      <c r="A14" s="11" t="inlineStr"/>
      <c r="B14" s="12" t="inlineStr">
        <is>
          <t>EBITDA кафе (вбить из листа Финмодель)</t>
        </is>
      </c>
      <c r="C14" s="52" t="n">
        <v>0</v>
      </c>
      <c r="D14" s="16" t="inlineStr">
        <is>
          <t>Введите текущий EBITDA → проверка покрытия</t>
        </is>
      </c>
    </row>
    <row r="15" ht="18" customHeight="1">
      <c r="A15" s="17" t="inlineStr"/>
      <c r="B15" s="18" t="inlineStr">
        <is>
          <t>Остаток после выплаты (авто)</t>
        </is>
      </c>
      <c r="C15" s="54">
        <f>IF(C14=0,"",C14-C10)</f>
        <v/>
      </c>
      <c r="D15" s="20" t="inlineStr">
        <is>
          <t>€/мес на развитие</t>
        </is>
      </c>
    </row>
    <row r="17" ht="20" customHeight="1">
      <c r="A17" s="9" t="inlineStr"/>
      <c r="B17" s="10" t="inlineStr">
        <is>
          <t>СЦЕНАРНЫЙ АНАЛИЗ ВОЗВРАТА</t>
        </is>
      </c>
      <c r="C17" s="9" t="inlineStr"/>
      <c r="D17" s="9" t="inlineStr"/>
    </row>
    <row r="18" ht="18" customHeight="1">
      <c r="A18" s="57" t="inlineStr"/>
      <c r="B18" s="58" t="inlineStr">
        <is>
          <t>Ежемес. возврат €</t>
        </is>
      </c>
      <c r="C18" s="58" t="inlineStr">
        <is>
          <t>Срок (мес.)</t>
        </is>
      </c>
      <c r="D18" s="58" t="inlineStr">
        <is>
          <t>Срок (лет.)</t>
        </is>
      </c>
    </row>
    <row r="19" ht="16" customHeight="1">
      <c r="A19" s="11" t="inlineStr"/>
      <c r="B19" s="59" t="n">
        <v>500</v>
      </c>
      <c r="C19" s="60">
        <f>IFERROR(CEILING(C8/B19,1),"∞")</f>
        <v/>
      </c>
      <c r="D19" s="61">
        <f>IFERROR(C19/12,"")</f>
        <v/>
      </c>
    </row>
    <row r="20" ht="16" customHeight="1">
      <c r="A20" s="11" t="inlineStr"/>
      <c r="B20" s="59" t="n">
        <v>750</v>
      </c>
      <c r="C20" s="60">
        <f>IFERROR(CEILING(C8/B20,1),"∞")</f>
        <v/>
      </c>
      <c r="D20" s="61">
        <f>IFERROR(C20/12,"")</f>
        <v/>
      </c>
    </row>
    <row r="21" ht="16" customHeight="1">
      <c r="A21" s="11" t="inlineStr"/>
      <c r="B21" s="59" t="n">
        <v>1000</v>
      </c>
      <c r="C21" s="60">
        <f>IFERROR(CEILING(C8/B21,1),"∞")</f>
        <v/>
      </c>
      <c r="D21" s="61">
        <f>IFERROR(C21/12,"")</f>
        <v/>
      </c>
    </row>
    <row r="22" ht="16" customHeight="1">
      <c r="A22" s="11" t="inlineStr"/>
      <c r="B22" s="59" t="n">
        <v>1500</v>
      </c>
      <c r="C22" s="60">
        <f>IFERROR(CEILING(C8/B22,1),"∞")</f>
        <v/>
      </c>
      <c r="D22" s="61">
        <f>IFERROR(C22/12,"")</f>
        <v/>
      </c>
    </row>
    <row r="23" ht="16" customHeight="1">
      <c r="A23" s="11" t="inlineStr"/>
      <c r="B23" s="59" t="n">
        <v>2000</v>
      </c>
      <c r="C23" s="60">
        <f>IFERROR(CEILING(C8/B23,1),"∞")</f>
        <v/>
      </c>
      <c r="D23" s="61">
        <f>IFERROR(C23/12,"")</f>
        <v/>
      </c>
    </row>
    <row r="24" ht="16" customHeight="1">
      <c r="A24" s="11" t="inlineStr"/>
      <c r="B24" s="59" t="n">
        <v>2500</v>
      </c>
      <c r="C24" s="60">
        <f>IFERROR(CEILING(C8/B24,1),"∞")</f>
        <v/>
      </c>
      <c r="D24" s="61">
        <f>IFERROR(C24/12,"")</f>
        <v/>
      </c>
    </row>
    <row r="25" ht="16" customHeight="1">
      <c r="A25" s="11" t="inlineStr"/>
      <c r="B25" s="59" t="n">
        <v>3000</v>
      </c>
      <c r="C25" s="60">
        <f>IFERROR(CEILING(C8/B25,1),"∞")</f>
        <v/>
      </c>
      <c r="D25" s="61">
        <f>IFERROR(C25/12,"")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 ht="28" customHeight="1">
      <c r="A1" s="42" t="n"/>
      <c r="B1" s="62" t="inlineStr">
        <is>
          <t>Зарплатный справочник — Wien (ориентировочно)</t>
        </is>
      </c>
      <c r="C1" s="42" t="n"/>
      <c r="D1" s="42" t="n"/>
      <c r="E1" s="42" t="n"/>
      <c r="F1" s="42" t="n"/>
      <c r="G1" s="42" t="n"/>
    </row>
    <row r="3" ht="18" customHeight="1">
      <c r="A3" s="63" t="inlineStr"/>
      <c r="B3" s="63" t="inlineStr">
        <is>
          <t>Сотрудник</t>
        </is>
      </c>
      <c r="C3" s="64" t="inlineStr">
        <is>
          <t>Нетто (на руки)</t>
        </is>
      </c>
      <c r="D3" s="64" t="inlineStr">
        <is>
          <t>Брутто</t>
        </is>
      </c>
      <c r="E3" s="64" t="inlineStr">
        <is>
          <t>+38% Lohnnebenkosten</t>
        </is>
      </c>
      <c r="F3" s="64" t="inlineStr">
        <is>
          <t>Итого работодатель</t>
        </is>
      </c>
      <c r="G3" s="63" t="inlineStr">
        <is>
          <t>Статус / примечание</t>
        </is>
      </c>
    </row>
    <row r="4" ht="16" customHeight="1">
      <c r="A4" s="65" t="n"/>
      <c r="B4" s="66" t="inlineStr">
        <is>
          <t>Pavlo Ryuchuk (Паша, директор + доставка)</t>
        </is>
      </c>
      <c r="C4" s="59" t="n">
        <v>1521</v>
      </c>
      <c r="D4" s="54">
        <f>ROUND(C4/0.72,0)</f>
        <v/>
      </c>
      <c r="E4" s="54">
        <f>ROUND(D4*0.38,0)</f>
        <v/>
      </c>
      <c r="F4" s="67">
        <f>D4+E4</f>
        <v/>
      </c>
      <c r="G4" s="68" t="inlineStr">
        <is>
          <t>Директор GmbH + курьер доставки; брутто 1300€, бонус 888.90€</t>
        </is>
      </c>
    </row>
    <row r="5" ht="16" customHeight="1">
      <c r="A5" s="69" t="n"/>
      <c r="B5" s="70" t="inlineStr">
        <is>
          <t>Svitlana Baehtova (зальщик / повар)</t>
        </is>
      </c>
      <c r="C5" s="59" t="n">
        <v>1300</v>
      </c>
      <c r="D5" s="54">
        <f>ROUND(C5/0.72,0)</f>
        <v/>
      </c>
      <c r="E5" s="54">
        <f>ROUND(D5*0.38,0)</f>
        <v/>
      </c>
      <c r="F5" s="67">
        <f>D5+E5</f>
        <v/>
      </c>
      <c r="G5" s="71" t="inlineStr">
        <is>
          <t>Брутто 982.40€, бонус 1037.90€; уточнить роль</t>
        </is>
      </c>
    </row>
    <row r="6" ht="16" customHeight="1">
      <c r="A6" s="65" t="n"/>
      <c r="B6" s="66" t="inlineStr">
        <is>
          <t>Sovochenko Iryna (зальщик / сменщик)</t>
        </is>
      </c>
      <c r="C6" s="59" t="n">
        <v>1088</v>
      </c>
      <c r="D6" s="54">
        <f>ROUND(C6/0.72,0)</f>
        <v/>
      </c>
      <c r="E6" s="54">
        <f>ROUND(D6*0.38,0)</f>
        <v/>
      </c>
      <c r="F6" s="67">
        <f>D6+E6</f>
        <v/>
      </c>
      <c r="G6" s="68" t="inlineStr">
        <is>
          <t>Брутто 1070.25€, бонус 623.90€; уточнить роль</t>
        </is>
      </c>
    </row>
    <row r="7" ht="16" customHeight="1">
      <c r="A7" s="69" t="n"/>
      <c r="B7" s="70" t="inlineStr">
        <is>
          <t>Natalia Ryuchuk (Наташа, повар)</t>
        </is>
      </c>
      <c r="C7" s="59" t="n">
        <v>1362</v>
      </c>
      <c r="D7" s="54">
        <f>ROUND(C7/0.72,0)</f>
        <v/>
      </c>
      <c r="E7" s="54">
        <f>ROUND(D7*0.38,0)</f>
        <v/>
      </c>
      <c r="F7" s="67">
        <f>D7+E7</f>
        <v/>
      </c>
      <c r="G7" s="71" t="inlineStr">
        <is>
          <t>УБРАТЬ в опт. модели — продукт идёт готовым из Братиславы; бонус 1479€</t>
        </is>
      </c>
    </row>
    <row r="9" ht="28" customHeight="1">
      <c r="B9" s="72" t="inlineStr">
        <is>
          <t>* Нетто — ориентир AT (Steuerklasse 1). Вбейте реальные суммы «на руки» в зелёные ячейки — брутто и стоимость для работодателя пересчитаются автоматически.</t>
        </is>
      </c>
    </row>
  </sheetData>
  <mergeCells count="1"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2026-07-15T08:18:18Z</dcterms:created>
  <dcterms:modified xsi:type="dcterms:W3CDTF">2026-07-15T08:18:18Z</dcterms:modified>
</cp:coreProperties>
</file>