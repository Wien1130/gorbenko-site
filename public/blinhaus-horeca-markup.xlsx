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ценка - доставка" sheetId="1" state="visible" r:id="rId1"/>
    <sheet name="Цена кафе (гипотеза)" sheetId="2" state="visible" r:id="rId2"/>
    <sheet name="Напитки - правила (черновик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i val="1"/>
      <color rgb="00B00000"/>
    </font>
  </fonts>
  <fills count="5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D9E8D6"/>
        <bgColor rgb="00D9E8D6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14" customWidth="1" min="9" max="9"/>
    <col width="12" customWidth="1" min="10" max="10"/>
    <col width="10" customWidth="1" min="11" max="11"/>
  </cols>
  <sheetData>
    <row r="1">
      <c r="A1" s="1" t="inlineStr">
        <is>
          <t>BlinHaus Vienna — наценка на доставку наборов заморозки (по прайсу HoReCa)</t>
        </is>
      </c>
    </row>
    <row r="2">
      <c r="A2" s="2" t="inlineStr">
        <is>
          <t>Опт = закупочная/наша цена (то, почём получаем). Розница = цена продажи на доставку. Наценка % = (Розница − Опт) / Опт × 100. Источник: Prais Viena HoReCa (1).xlsx, 13.07.2026.</t>
        </is>
      </c>
    </row>
    <row r="4">
      <c r="A4" s="3" t="inlineStr">
        <is>
          <t>№</t>
        </is>
      </c>
      <c r="B4" s="3" t="inlineStr">
        <is>
          <t>Продукт</t>
        </is>
      </c>
      <c r="C4" s="3" t="inlineStr">
        <is>
          <t>Продукт (DE)</t>
        </is>
      </c>
      <c r="D4" s="3" t="inlineStr">
        <is>
          <t>Опт замор., €/кг</t>
        </is>
      </c>
      <c r="E4" s="3" t="inlineStr">
        <is>
          <t>Розница замор., €/кг</t>
        </is>
      </c>
      <c r="F4" s="3" t="inlineStr">
        <is>
          <t>Наценка €/кг</t>
        </is>
      </c>
      <c r="G4" s="3" t="inlineStr">
        <is>
          <t>Наценка %</t>
        </is>
      </c>
      <c r="H4" s="3" t="inlineStr">
        <is>
          <t>Опт готовая, €/кг</t>
        </is>
      </c>
      <c r="I4" s="3" t="inlineStr">
        <is>
          <t>Розница готовая, €/кг</t>
        </is>
      </c>
      <c r="J4" s="3" t="inlineStr">
        <is>
          <t>Наценка €/кг</t>
        </is>
      </c>
      <c r="K4" s="3" t="inlineStr">
        <is>
          <t>Наценка %</t>
        </is>
      </c>
    </row>
    <row r="5">
      <c r="A5" s="4" t="n">
        <v>1</v>
      </c>
      <c r="B5" s="4" t="inlineStr">
        <is>
          <t>Пельмени со свининой</t>
        </is>
      </c>
      <c r="C5" s="4" t="inlineStr">
        <is>
          <t>Pelmeni mit Schweinefleisch</t>
        </is>
      </c>
      <c r="D5" s="5" t="n">
        <v>12</v>
      </c>
      <c r="E5" s="5" t="n">
        <v>18</v>
      </c>
      <c r="F5" s="5" t="n">
        <v>6</v>
      </c>
      <c r="G5" s="6" t="n">
        <v>50</v>
      </c>
      <c r="H5" s="4" t="n"/>
      <c r="I5" s="4" t="n"/>
      <c r="J5" s="4" t="n"/>
      <c r="K5" s="4" t="n"/>
    </row>
    <row r="6">
      <c r="A6" s="4" t="n">
        <v>2</v>
      </c>
      <c r="B6" s="4" t="inlineStr">
        <is>
          <t>Пельмени с телятиной</t>
        </is>
      </c>
      <c r="C6" s="4" t="inlineStr">
        <is>
          <t>Pelmeni mit Kalbfleisch</t>
        </is>
      </c>
      <c r="D6" s="5" t="n">
        <v>15</v>
      </c>
      <c r="E6" s="5" t="n">
        <v>22</v>
      </c>
      <c r="F6" s="5" t="n">
        <v>7</v>
      </c>
      <c r="G6" s="6" t="n">
        <v>46.7</v>
      </c>
      <c r="H6" s="4" t="n"/>
      <c r="I6" s="4" t="n"/>
      <c r="J6" s="4" t="n"/>
      <c r="K6" s="4" t="n"/>
    </row>
    <row r="7">
      <c r="A7" s="4" t="n">
        <v>3</v>
      </c>
      <c r="B7" s="4" t="inlineStr">
        <is>
          <t>Пельмени с тремя видами мяса</t>
        </is>
      </c>
      <c r="C7" s="4" t="inlineStr">
        <is>
          <t>Pelmeni mit drei Fleischsorten</t>
        </is>
      </c>
      <c r="D7" s="5" t="n">
        <v>12</v>
      </c>
      <c r="E7" s="5" t="n">
        <v>18</v>
      </c>
      <c r="F7" s="5" t="n">
        <v>6</v>
      </c>
      <c r="G7" s="6" t="n">
        <v>50</v>
      </c>
      <c r="H7" s="4" t="n"/>
      <c r="I7" s="4" t="n"/>
      <c r="J7" s="4" t="n"/>
      <c r="K7" s="4" t="n"/>
    </row>
    <row r="8">
      <c r="A8" s="4" t="n">
        <v>4</v>
      </c>
      <c r="B8" s="4" t="inlineStr">
        <is>
          <t>Пельмени с курицей</t>
        </is>
      </c>
      <c r="C8" s="4" t="inlineStr">
        <is>
          <t>Pelmeni mit Hähnchen</t>
        </is>
      </c>
      <c r="D8" s="5" t="n">
        <v>12</v>
      </c>
      <c r="E8" s="5" t="n">
        <v>18</v>
      </c>
      <c r="F8" s="5" t="n">
        <v>6</v>
      </c>
      <c r="G8" s="6" t="n">
        <v>50</v>
      </c>
      <c r="H8" s="4" t="n"/>
      <c r="I8" s="4" t="n"/>
      <c r="J8" s="4" t="n"/>
      <c r="K8" s="4" t="n"/>
    </row>
    <row r="9">
      <c r="A9" s="4" t="n">
        <v>5</v>
      </c>
      <c r="B9" s="4" t="inlineStr">
        <is>
          <t>Пельмени с индейкой</t>
        </is>
      </c>
      <c r="C9" s="4" t="inlineStr">
        <is>
          <t>Pelmeni mit Pute</t>
        </is>
      </c>
      <c r="D9" s="5" t="n">
        <v>12</v>
      </c>
      <c r="E9" s="5" t="n">
        <v>18</v>
      </c>
      <c r="F9" s="5" t="n">
        <v>6</v>
      </c>
      <c r="G9" s="6" t="n">
        <v>50</v>
      </c>
      <c r="H9" s="4" t="n"/>
      <c r="I9" s="4" t="n"/>
      <c r="J9" s="4" t="n"/>
      <c r="K9" s="4" t="n"/>
    </row>
    <row r="10">
      <c r="A10" s="4" t="n">
        <v>6</v>
      </c>
      <c r="B10" s="4" t="inlineStr">
        <is>
          <t>Пельмени с бараниной</t>
        </is>
      </c>
      <c r="C10" s="4" t="inlineStr">
        <is>
          <t>Pelmeni mit Lammfleisch</t>
        </is>
      </c>
      <c r="D10" s="5" t="n">
        <v>16</v>
      </c>
      <c r="E10" s="5" t="n">
        <v>23</v>
      </c>
      <c r="F10" s="5" t="n">
        <v>7</v>
      </c>
      <c r="G10" s="6" t="n">
        <v>43.8</v>
      </c>
      <c r="H10" s="4" t="n"/>
      <c r="I10" s="4" t="n"/>
      <c r="J10" s="4" t="n"/>
      <c r="K10" s="4" t="n"/>
    </row>
    <row r="11">
      <c r="A11" s="4" t="n">
        <v>7</v>
      </c>
      <c r="B11" s="4" t="inlineStr">
        <is>
          <t>Пельмени со свининой, жаренные</t>
        </is>
      </c>
      <c r="C11" s="4" t="inlineStr">
        <is>
          <t>Gebratene Pelmeni mit Schweinefleisch</t>
        </is>
      </c>
      <c r="D11" s="4" t="n"/>
      <c r="E11" s="4" t="n"/>
      <c r="F11" s="4" t="n"/>
      <c r="G11" s="4" t="n"/>
      <c r="H11" s="5" t="n">
        <v>14.11764705882353</v>
      </c>
      <c r="I11" s="5" t="n">
        <v>24</v>
      </c>
      <c r="J11" s="5" t="n">
        <v>9.880000000000001</v>
      </c>
      <c r="K11" s="6" t="n">
        <v>70</v>
      </c>
    </row>
    <row r="12">
      <c r="A12" s="4" t="n">
        <v>8</v>
      </c>
      <c r="B12" s="4" t="inlineStr">
        <is>
          <t>Пельмени с тремя видами мяса, жаренные</t>
        </is>
      </c>
      <c r="C12" s="4" t="inlineStr">
        <is>
          <t>Gebratene Pelmeni mit drei Fleischsorten</t>
        </is>
      </c>
      <c r="D12" s="4" t="n"/>
      <c r="E12" s="4" t="n"/>
      <c r="F12" s="4" t="n"/>
      <c r="G12" s="4" t="n"/>
      <c r="H12" s="5" t="n">
        <v>14.11764705882353</v>
      </c>
      <c r="I12" s="5" t="n">
        <v>24</v>
      </c>
      <c r="J12" s="5" t="n">
        <v>9.880000000000001</v>
      </c>
      <c r="K12" s="6" t="n">
        <v>70</v>
      </c>
    </row>
    <row r="13">
      <c r="A13" s="4" t="n">
        <v>9</v>
      </c>
      <c r="B13" s="4" t="inlineStr">
        <is>
          <t>Пельмени с курицей, жаренные</t>
        </is>
      </c>
      <c r="C13" s="4" t="inlineStr">
        <is>
          <t>Gebratene Pelmeni mit Hähnchen</t>
        </is>
      </c>
      <c r="D13" s="4" t="n"/>
      <c r="E13" s="4" t="n"/>
      <c r="F13" s="4" t="n"/>
      <c r="G13" s="4" t="n"/>
      <c r="H13" s="5" t="n">
        <v>14.11764705882353</v>
      </c>
      <c r="I13" s="5" t="n">
        <v>24</v>
      </c>
      <c r="J13" s="5" t="n">
        <v>9.880000000000001</v>
      </c>
      <c r="K13" s="6" t="n">
        <v>70</v>
      </c>
    </row>
    <row r="14">
      <c r="A14" s="4" t="n">
        <v>10</v>
      </c>
      <c r="B14" s="4" t="inlineStr">
        <is>
          <t>Пельмени с индейкой, жаренные</t>
        </is>
      </c>
      <c r="C14" s="4" t="inlineStr">
        <is>
          <t>Gebratene Pelmeni mit Pute</t>
        </is>
      </c>
      <c r="D14" s="4" t="n"/>
      <c r="E14" s="4" t="n"/>
      <c r="F14" s="4" t="n"/>
      <c r="G14" s="4" t="n"/>
      <c r="H14" s="5" t="n">
        <v>14.11764705882353</v>
      </c>
      <c r="I14" s="5" t="n">
        <v>24</v>
      </c>
      <c r="J14" s="5" t="n">
        <v>9.880000000000001</v>
      </c>
      <c r="K14" s="6" t="n">
        <v>70</v>
      </c>
    </row>
    <row r="15">
      <c r="A15" s="4" t="n">
        <v>11</v>
      </c>
      <c r="B15" s="4" t="inlineStr">
        <is>
          <t>Вареники со свининой</t>
        </is>
      </c>
      <c r="C15" s="4" t="inlineStr">
        <is>
          <t>Wareniki mit Schweinefleisch</t>
        </is>
      </c>
      <c r="D15" s="5" t="n">
        <v>12</v>
      </c>
      <c r="E15" s="5" t="n">
        <v>18</v>
      </c>
      <c r="F15" s="5" t="n">
        <v>6</v>
      </c>
      <c r="G15" s="6" t="n">
        <v>50</v>
      </c>
      <c r="H15" s="4" t="n"/>
      <c r="I15" s="4" t="n"/>
      <c r="J15" s="4" t="n"/>
      <c r="K15" s="4" t="n"/>
    </row>
    <row r="16">
      <c r="A16" s="4" t="n">
        <v>12</v>
      </c>
      <c r="B16" s="4" t="inlineStr">
        <is>
          <t>Вареники с говядиной</t>
        </is>
      </c>
      <c r="C16" s="4" t="inlineStr">
        <is>
          <t>Wareniki mit Rindfleisch</t>
        </is>
      </c>
      <c r="D16" s="5" t="n">
        <v>15</v>
      </c>
      <c r="E16" s="5" t="n">
        <v>21</v>
      </c>
      <c r="F16" s="5" t="n">
        <v>6</v>
      </c>
      <c r="G16" s="6" t="n">
        <v>40</v>
      </c>
      <c r="H16" s="4" t="n"/>
      <c r="I16" s="4" t="n"/>
      <c r="J16" s="4" t="n"/>
      <c r="K16" s="4" t="n"/>
    </row>
    <row r="17">
      <c r="A17" s="4" t="n">
        <v>13</v>
      </c>
      <c r="B17" s="4" t="inlineStr">
        <is>
          <t>Вареники с картофелем и маслом</t>
        </is>
      </c>
      <c r="C17" s="4" t="inlineStr">
        <is>
          <t>Wareniki mit Kartoffeln und Butter</t>
        </is>
      </c>
      <c r="D17" s="5" t="n">
        <v>10</v>
      </c>
      <c r="E17" s="5" t="n">
        <v>16</v>
      </c>
      <c r="F17" s="5" t="n">
        <v>6</v>
      </c>
      <c r="G17" s="6" t="n">
        <v>60</v>
      </c>
      <c r="H17" s="4" t="n"/>
      <c r="I17" s="4" t="n"/>
      <c r="J17" s="4" t="n"/>
      <c r="K17" s="4" t="n"/>
    </row>
    <row r="18">
      <c r="A18" s="4" t="n">
        <v>14</v>
      </c>
      <c r="B18" s="4" t="inlineStr">
        <is>
          <t>Вареники с грибами и картофелем</t>
        </is>
      </c>
      <c r="C18" s="4" t="inlineStr">
        <is>
          <t>Wareniki mit Pilzen und Kartoffeln</t>
        </is>
      </c>
      <c r="D18" s="5" t="n">
        <v>10</v>
      </c>
      <c r="E18" s="5" t="n">
        <v>16</v>
      </c>
      <c r="F18" s="5" t="n">
        <v>6</v>
      </c>
      <c r="G18" s="6" t="n">
        <v>60</v>
      </c>
      <c r="H18" s="4" t="n"/>
      <c r="I18" s="4" t="n"/>
      <c r="J18" s="4" t="n"/>
      <c r="K18" s="4" t="n"/>
    </row>
    <row r="19">
      <c r="A19" s="4" t="n">
        <v>15</v>
      </c>
      <c r="B19" s="4" t="inlineStr">
        <is>
          <t>Вареники с капустой</t>
        </is>
      </c>
      <c r="C19" s="4" t="inlineStr">
        <is>
          <t>Wareniki mit Kohl</t>
        </is>
      </c>
      <c r="D19" s="5" t="n">
        <v>8.823529411764707</v>
      </c>
      <c r="E19" s="5" t="n">
        <v>15</v>
      </c>
      <c r="F19" s="5" t="n">
        <v>6.18</v>
      </c>
      <c r="G19" s="6" t="n">
        <v>70</v>
      </c>
      <c r="H19" s="4" t="n"/>
      <c r="I19" s="4" t="n"/>
      <c r="J19" s="4" t="n"/>
      <c r="K19" s="4" t="n"/>
    </row>
    <row r="20">
      <c r="A20" s="4" t="n">
        <v>16</v>
      </c>
      <c r="B20" s="4" t="inlineStr">
        <is>
          <t>Вареники со сладким творогом</t>
        </is>
      </c>
      <c r="C20" s="4" t="inlineStr">
        <is>
          <t>Wareniki mit süßem Quark</t>
        </is>
      </c>
      <c r="D20" s="5" t="n">
        <v>12</v>
      </c>
      <c r="E20" s="5" t="n">
        <v>18</v>
      </c>
      <c r="F20" s="5" t="n">
        <v>6</v>
      </c>
      <c r="G20" s="6" t="n">
        <v>50</v>
      </c>
      <c r="H20" s="4" t="n"/>
      <c r="I20" s="4" t="n"/>
      <c r="J20" s="4" t="n"/>
      <c r="K20" s="4" t="n"/>
    </row>
    <row r="21">
      <c r="A21" s="4" t="n">
        <v>17</v>
      </c>
      <c r="B21" s="4" t="inlineStr">
        <is>
          <t>Вареники с вишней</t>
        </is>
      </c>
      <c r="C21" s="4" t="inlineStr">
        <is>
          <t>Wareniki mit Kirschen</t>
        </is>
      </c>
      <c r="D21" s="5" t="n">
        <v>14</v>
      </c>
      <c r="E21" s="5" t="n">
        <v>20</v>
      </c>
      <c r="F21" s="5" t="n">
        <v>6</v>
      </c>
      <c r="G21" s="6" t="n">
        <v>42.9</v>
      </c>
      <c r="H21" s="4" t="n"/>
      <c r="I21" s="4" t="n"/>
      <c r="J21" s="4" t="n"/>
      <c r="K21" s="4" t="n"/>
    </row>
    <row r="22">
      <c r="A22" s="4" t="n">
        <v>18</v>
      </c>
      <c r="B22" s="4" t="inlineStr">
        <is>
          <t>Вареники с вишней и маком</t>
        </is>
      </c>
      <c r="C22" s="4" t="inlineStr">
        <is>
          <t>Wareniki mit Kirschen und Mohn</t>
        </is>
      </c>
      <c r="D22" s="5" t="n">
        <v>14</v>
      </c>
      <c r="E22" s="5" t="n">
        <v>20</v>
      </c>
      <c r="F22" s="5" t="n">
        <v>6</v>
      </c>
      <c r="G22" s="6" t="n">
        <v>42.9</v>
      </c>
      <c r="H22" s="4" t="n"/>
      <c r="I22" s="4" t="n"/>
      <c r="J22" s="4" t="n"/>
      <c r="K22" s="4" t="n"/>
    </row>
    <row r="23">
      <c r="A23" s="4" t="n">
        <v>19</v>
      </c>
      <c r="B23" s="4" t="inlineStr">
        <is>
          <t>Вареники с маком</t>
        </is>
      </c>
      <c r="C23" s="4" t="inlineStr">
        <is>
          <t>Wareniki mit Mohn</t>
        </is>
      </c>
      <c r="D23" s="5" t="n">
        <v>12</v>
      </c>
      <c r="E23" s="5" t="n">
        <v>18</v>
      </c>
      <c r="F23" s="5" t="n">
        <v>6</v>
      </c>
      <c r="G23" s="6" t="n">
        <v>50</v>
      </c>
      <c r="H23" s="4" t="n"/>
      <c r="I23" s="4" t="n"/>
      <c r="J23" s="4" t="n"/>
      <c r="K23" s="4" t="n"/>
    </row>
    <row r="24">
      <c r="A24" s="4" t="n">
        <v>20</v>
      </c>
      <c r="B24" s="4" t="inlineStr">
        <is>
          <t>Картофельные зразы с грибами</t>
        </is>
      </c>
      <c r="C24" s="4" t="inlineStr">
        <is>
          <t>Kartoffel-Zrazy mit Pilzen</t>
        </is>
      </c>
      <c r="D24" s="5" t="n">
        <v>12</v>
      </c>
      <c r="E24" s="5" t="n">
        <v>18</v>
      </c>
      <c r="F24" s="5" t="n">
        <v>6</v>
      </c>
      <c r="G24" s="6" t="n">
        <v>50</v>
      </c>
      <c r="H24" s="5" t="n">
        <v>14</v>
      </c>
      <c r="I24" s="5" t="n">
        <v>20</v>
      </c>
      <c r="J24" s="5" t="n">
        <v>6</v>
      </c>
      <c r="K24" s="6" t="n">
        <v>42.9</v>
      </c>
    </row>
    <row r="25">
      <c r="A25" s="4" t="n">
        <v>21</v>
      </c>
      <c r="B25" s="4" t="inlineStr">
        <is>
          <t>Картофельные зразы с мясом</t>
        </is>
      </c>
      <c r="C25" s="4" t="inlineStr">
        <is>
          <t>Kartoffel-Zrazy mit Fleisch</t>
        </is>
      </c>
      <c r="D25" s="5" t="n">
        <v>12</v>
      </c>
      <c r="E25" s="5" t="n">
        <v>18</v>
      </c>
      <c r="F25" s="5" t="n">
        <v>6</v>
      </c>
      <c r="G25" s="6" t="n">
        <v>50</v>
      </c>
      <c r="H25" s="5" t="n">
        <v>14</v>
      </c>
      <c r="I25" s="5" t="n">
        <v>20</v>
      </c>
      <c r="J25" s="5" t="n">
        <v>6</v>
      </c>
      <c r="K25" s="6" t="n">
        <v>42.9</v>
      </c>
    </row>
    <row r="26">
      <c r="A26" s="4" t="n">
        <v>22</v>
      </c>
      <c r="B26" s="4" t="inlineStr">
        <is>
          <t>Чебуреки со свининой</t>
        </is>
      </c>
      <c r="C26" s="4" t="inlineStr">
        <is>
          <t>Tschebureki mit Schweinefleisch</t>
        </is>
      </c>
      <c r="D26" s="5" t="n">
        <v>12</v>
      </c>
      <c r="E26" s="5" t="n">
        <v>18</v>
      </c>
      <c r="F26" s="5" t="n">
        <v>6</v>
      </c>
      <c r="G26" s="6" t="n">
        <v>50</v>
      </c>
      <c r="H26" s="5" t="n">
        <v>14</v>
      </c>
      <c r="I26" s="5" t="n">
        <v>20</v>
      </c>
      <c r="J26" s="5" t="n">
        <v>6</v>
      </c>
      <c r="K26" s="6" t="n">
        <v>42.9</v>
      </c>
    </row>
    <row r="27">
      <c r="A27" s="4" t="n">
        <v>23</v>
      </c>
      <c r="B27" s="4" t="inlineStr">
        <is>
          <t>Чебуреки со свининой, сыром и помидорами</t>
        </is>
      </c>
      <c r="C27" s="4" t="inlineStr">
        <is>
          <t>Tschebureki mit Schweinefleisch, Käse und Tomaten</t>
        </is>
      </c>
      <c r="D27" s="5" t="n">
        <v>13.33333333333333</v>
      </c>
      <c r="E27" s="5" t="n">
        <v>20</v>
      </c>
      <c r="F27" s="5" t="n">
        <v>6.67</v>
      </c>
      <c r="G27" s="6" t="n">
        <v>50</v>
      </c>
      <c r="H27" s="5" t="n">
        <v>15.33333333333333</v>
      </c>
      <c r="I27" s="5" t="n">
        <v>22</v>
      </c>
      <c r="J27" s="5" t="n">
        <v>6.67</v>
      </c>
      <c r="K27" s="6" t="n">
        <v>43.5</v>
      </c>
    </row>
    <row r="28">
      <c r="A28" s="4" t="n">
        <v>24</v>
      </c>
      <c r="B28" s="4" t="inlineStr">
        <is>
          <t>Бендерики с мясом</t>
        </is>
      </c>
      <c r="C28" s="4" t="inlineStr">
        <is>
          <t>Benderiki mit Fleisch</t>
        </is>
      </c>
      <c r="D28" s="5" t="n">
        <v>11</v>
      </c>
      <c r="E28" s="5" t="n">
        <v>17</v>
      </c>
      <c r="F28" s="5" t="n">
        <v>6</v>
      </c>
      <c r="G28" s="6" t="n">
        <v>54.5</v>
      </c>
      <c r="H28" s="5" t="n">
        <v>13</v>
      </c>
      <c r="I28" s="5" t="n">
        <v>19</v>
      </c>
      <c r="J28" s="5" t="n">
        <v>6</v>
      </c>
      <c r="K28" s="6" t="n">
        <v>46.2</v>
      </c>
    </row>
    <row r="29">
      <c r="A29" s="4" t="n">
        <v>25</v>
      </c>
      <c r="B29" s="4" t="inlineStr">
        <is>
          <t>Бендерики с курицей и моцареллой</t>
        </is>
      </c>
      <c r="C29" s="4" t="inlineStr">
        <is>
          <t>Benderiki mit Hähnchen und Mozzarella</t>
        </is>
      </c>
      <c r="D29" s="5" t="n">
        <v>11</v>
      </c>
      <c r="E29" s="5" t="n">
        <v>17</v>
      </c>
      <c r="F29" s="5" t="n">
        <v>6</v>
      </c>
      <c r="G29" s="6" t="n">
        <v>54.5</v>
      </c>
      <c r="H29" s="5" t="n">
        <v>13</v>
      </c>
      <c r="I29" s="5" t="n">
        <v>19</v>
      </c>
      <c r="J29" s="5" t="n">
        <v>6</v>
      </c>
      <c r="K29" s="6" t="n">
        <v>46.2</v>
      </c>
    </row>
    <row r="30">
      <c r="A30" s="4" t="n">
        <v>26</v>
      </c>
      <c r="B30" s="4" t="inlineStr">
        <is>
          <t>Перепелка, 1 шт</t>
        </is>
      </c>
      <c r="C30" s="4" t="inlineStr">
        <is>
          <t>Wachtel, 1 Stk.</t>
        </is>
      </c>
      <c r="D30" s="4" t="n"/>
      <c r="E30" s="4" t="n"/>
      <c r="F30" s="4" t="n"/>
      <c r="G30" s="4" t="n"/>
      <c r="H30" s="5" t="n">
        <v>6</v>
      </c>
      <c r="I30" s="4" t="n"/>
      <c r="J30" s="4" t="n"/>
      <c r="K30" s="4" t="n"/>
    </row>
    <row r="31">
      <c r="A31" s="4" t="n">
        <v>27</v>
      </c>
      <c r="B31" s="4" t="inlineStr">
        <is>
          <t>Рыбный суп (уха) порция 300 гр.</t>
        </is>
      </c>
      <c r="C31" s="4" t="inlineStr">
        <is>
          <t>Fischsuppe (Ucha), Portion 300 g</t>
        </is>
      </c>
      <c r="D31" s="4" t="n"/>
      <c r="E31" s="4" t="n"/>
      <c r="F31" s="4" t="n"/>
      <c r="G31" s="4" t="n"/>
      <c r="H31" s="5" t="n">
        <v>3.5</v>
      </c>
      <c r="I31" s="4" t="n"/>
      <c r="J31" s="4" t="n"/>
      <c r="K31" s="4" t="n"/>
    </row>
    <row r="32">
      <c r="A32" s="4" t="n">
        <v>28</v>
      </c>
      <c r="B32" s="4" t="inlineStr">
        <is>
          <t>Блинчики с тунцом</t>
        </is>
      </c>
      <c r="C32" s="4" t="inlineStr">
        <is>
          <t>Pfannkuchen mit Thunfisch</t>
        </is>
      </c>
      <c r="D32" s="4" t="n"/>
      <c r="E32" s="4" t="n"/>
      <c r="F32" s="4" t="n"/>
      <c r="G32" s="4" t="n"/>
      <c r="H32" s="5" t="n">
        <v>13</v>
      </c>
      <c r="I32" s="5" t="n">
        <v>18</v>
      </c>
      <c r="J32" s="5" t="n">
        <v>5</v>
      </c>
      <c r="K32" s="6" t="n">
        <v>38.5</v>
      </c>
    </row>
    <row r="33">
      <c r="A33" s="4" t="n">
        <v>29</v>
      </c>
      <c r="B33" s="4" t="inlineStr">
        <is>
          <t>Блинчики с лососем и шпинатом</t>
        </is>
      </c>
      <c r="C33" s="4" t="inlineStr">
        <is>
          <t>Pfannkuchen mit Lachs und Spinat</t>
        </is>
      </c>
      <c r="D33" s="4" t="n"/>
      <c r="E33" s="4" t="n"/>
      <c r="F33" s="4" t="n"/>
      <c r="G33" s="4" t="n"/>
      <c r="H33" s="5" t="n">
        <v>12</v>
      </c>
      <c r="I33" s="5" t="n">
        <v>18</v>
      </c>
      <c r="J33" s="5" t="n">
        <v>6</v>
      </c>
      <c r="K33" s="6" t="n">
        <v>50</v>
      </c>
    </row>
    <row r="34">
      <c r="A34" s="4" t="n">
        <v>30</v>
      </c>
      <c r="B34" s="4" t="inlineStr">
        <is>
          <t>Блинчики с говядиной</t>
        </is>
      </c>
      <c r="C34" s="4" t="inlineStr">
        <is>
          <t>Pfannkuchen mit Rindfleisch</t>
        </is>
      </c>
      <c r="D34" s="4" t="n"/>
      <c r="E34" s="4" t="n"/>
      <c r="F34" s="4" t="n"/>
      <c r="G34" s="4" t="n"/>
      <c r="H34" s="5" t="n">
        <v>12</v>
      </c>
      <c r="I34" s="5" t="n">
        <v>18</v>
      </c>
      <c r="J34" s="5" t="n">
        <v>6</v>
      </c>
      <c r="K34" s="6" t="n">
        <v>50</v>
      </c>
    </row>
    <row r="35">
      <c r="A35" s="4" t="n">
        <v>31</v>
      </c>
      <c r="B35" s="4" t="inlineStr">
        <is>
          <t>Блинчики с курицей и грибами</t>
        </is>
      </c>
      <c r="C35" s="4" t="inlineStr">
        <is>
          <t>Pfannkuchen mit Hähnchen und Pilzen</t>
        </is>
      </c>
      <c r="D35" s="4" t="n"/>
      <c r="E35" s="4" t="n"/>
      <c r="F35" s="4" t="n"/>
      <c r="G35" s="4" t="n"/>
      <c r="H35" s="5" t="n">
        <v>11</v>
      </c>
      <c r="I35" s="5" t="n">
        <v>17</v>
      </c>
      <c r="J35" s="5" t="n">
        <v>6</v>
      </c>
      <c r="K35" s="6" t="n">
        <v>54.5</v>
      </c>
    </row>
    <row r="36">
      <c r="A36" s="4" t="n">
        <v>32</v>
      </c>
      <c r="B36" s="4" t="inlineStr">
        <is>
          <t>Блинчики с грибами</t>
        </is>
      </c>
      <c r="C36" s="4" t="inlineStr">
        <is>
          <t>Pfannkuchen mit Pilzen</t>
        </is>
      </c>
      <c r="D36" s="4" t="n"/>
      <c r="E36" s="4" t="n"/>
      <c r="F36" s="4" t="n"/>
      <c r="G36" s="4" t="n"/>
      <c r="H36" s="5" t="n">
        <v>11</v>
      </c>
      <c r="I36" s="5" t="n">
        <v>17</v>
      </c>
      <c r="J36" s="5" t="n">
        <v>6</v>
      </c>
      <c r="K36" s="6" t="n">
        <v>54.5</v>
      </c>
    </row>
    <row r="37">
      <c r="A37" s="4" t="n">
        <v>33</v>
      </c>
      <c r="B37" s="4" t="inlineStr">
        <is>
          <t>Блинчики с моцареллой и вялеными помидорами</t>
        </is>
      </c>
      <c r="C37" s="4" t="inlineStr">
        <is>
          <t>Pfannkuchen mit Mozzarella und getrockneten Tomaten</t>
        </is>
      </c>
      <c r="D37" s="4" t="n"/>
      <c r="E37" s="4" t="n"/>
      <c r="F37" s="4" t="n"/>
      <c r="G37" s="4" t="n"/>
      <c r="H37" s="5" t="n">
        <v>11</v>
      </c>
      <c r="I37" s="5" t="n">
        <v>17</v>
      </c>
      <c r="J37" s="5" t="n">
        <v>6</v>
      </c>
      <c r="K37" s="6" t="n">
        <v>54.5</v>
      </c>
    </row>
    <row r="38">
      <c r="A38" s="4" t="n">
        <v>34</v>
      </c>
      <c r="B38" s="4" t="inlineStr">
        <is>
          <t>Блинчики с малиной и маскарпоне</t>
        </is>
      </c>
      <c r="C38" s="4" t="inlineStr">
        <is>
          <t>Pfannkuchen mit Himbeeren und Mascarpone</t>
        </is>
      </c>
      <c r="D38" s="4" t="n"/>
      <c r="E38" s="4" t="n"/>
      <c r="F38" s="4" t="n"/>
      <c r="G38" s="4" t="n"/>
      <c r="H38" s="5" t="n">
        <v>14</v>
      </c>
      <c r="I38" s="5" t="n">
        <v>20</v>
      </c>
      <c r="J38" s="5" t="n">
        <v>6</v>
      </c>
      <c r="K38" s="6" t="n">
        <v>42.9</v>
      </c>
    </row>
    <row r="39">
      <c r="A39" s="4" t="n">
        <v>35</v>
      </c>
      <c r="B39" s="4" t="inlineStr">
        <is>
          <t>Блинчики с маком и вишней</t>
        </is>
      </c>
      <c r="C39" s="4" t="inlineStr">
        <is>
          <t>Pfannkuchen mit Mohn und Kirschen</t>
        </is>
      </c>
      <c r="D39" s="4" t="n"/>
      <c r="E39" s="4" t="n"/>
      <c r="F39" s="4" t="n"/>
      <c r="G39" s="4" t="n"/>
      <c r="H39" s="5" t="n">
        <v>12</v>
      </c>
      <c r="I39" s="5" t="n">
        <v>18</v>
      </c>
      <c r="J39" s="5" t="n">
        <v>6</v>
      </c>
      <c r="K39" s="6" t="n">
        <v>50</v>
      </c>
    </row>
    <row r="40">
      <c r="A40" s="4" t="n">
        <v>36</v>
      </c>
      <c r="B40" s="4" t="inlineStr">
        <is>
          <t>Блинчики с творогом и черникой</t>
        </is>
      </c>
      <c r="C40" s="4" t="inlineStr">
        <is>
          <t>Pfannkuchen mit Quark und Heidelbeeren</t>
        </is>
      </c>
      <c r="D40" s="4" t="n"/>
      <c r="E40" s="4" t="n"/>
      <c r="F40" s="4" t="n"/>
      <c r="G40" s="4" t="n"/>
      <c r="H40" s="5" t="n">
        <v>12</v>
      </c>
      <c r="I40" s="5" t="n">
        <v>18</v>
      </c>
      <c r="J40" s="5" t="n">
        <v>6</v>
      </c>
      <c r="K40" s="6" t="n">
        <v>50</v>
      </c>
    </row>
    <row r="41">
      <c r="A41" s="4" t="n">
        <v>37</v>
      </c>
      <c r="B41" s="4" t="inlineStr">
        <is>
          <t>Блинчики с вишней и шоколадом</t>
        </is>
      </c>
      <c r="C41" s="4" t="inlineStr">
        <is>
          <t>Pfannkuchen mit Kirschen und Schokolade</t>
        </is>
      </c>
      <c r="D41" s="4" t="n"/>
      <c r="E41" s="4" t="n"/>
      <c r="F41" s="4" t="n"/>
      <c r="G41" s="4" t="n"/>
      <c r="H41" s="5" t="n">
        <v>12</v>
      </c>
      <c r="I41" s="5" t="n">
        <v>18</v>
      </c>
      <c r="J41" s="5" t="n">
        <v>6</v>
      </c>
      <c r="K41" s="6" t="n">
        <v>50</v>
      </c>
    </row>
    <row r="42">
      <c r="A42" s="4" t="n">
        <v>38</v>
      </c>
      <c r="B42" s="4" t="inlineStr">
        <is>
          <t>Блинчики с карамелизированными яблоками</t>
        </is>
      </c>
      <c r="C42" s="4" t="inlineStr">
        <is>
          <t>Pfannkuchen mit karamellisierten Äpfeln</t>
        </is>
      </c>
      <c r="D42" s="4" t="n"/>
      <c r="E42" s="4" t="n"/>
      <c r="F42" s="4" t="n"/>
      <c r="G42" s="4" t="n"/>
      <c r="H42" s="5" t="n">
        <v>11</v>
      </c>
      <c r="I42" s="5" t="n">
        <v>17</v>
      </c>
      <c r="J42" s="5" t="n">
        <v>6</v>
      </c>
      <c r="K42" s="6" t="n">
        <v>54.5</v>
      </c>
    </row>
    <row r="43">
      <c r="A43" s="4" t="n">
        <v>39</v>
      </c>
      <c r="B43" s="4" t="inlineStr">
        <is>
          <t>Блинчики с творогом (сладкие)</t>
        </is>
      </c>
      <c r="C43" s="4" t="inlineStr">
        <is>
          <t>Pfannkuchen mit Quark (süß)</t>
        </is>
      </c>
      <c r="D43" s="4" t="n"/>
      <c r="E43" s="4" t="n"/>
      <c r="F43" s="4" t="n"/>
      <c r="G43" s="4" t="n"/>
      <c r="H43" s="5" t="n">
        <v>12</v>
      </c>
      <c r="I43" s="5" t="n">
        <v>17</v>
      </c>
      <c r="J43" s="5" t="n">
        <v>5</v>
      </c>
      <c r="K43" s="6" t="n">
        <v>41.7</v>
      </c>
    </row>
    <row r="44">
      <c r="A44" s="4" t="n">
        <v>40</v>
      </c>
      <c r="B44" s="4" t="inlineStr">
        <is>
          <t>Сырники классические  1 шт.= 55 гр</t>
        </is>
      </c>
      <c r="C44" s="4" t="inlineStr">
        <is>
          <t>Klassische Syrniki 1 Stk.=55 g</t>
        </is>
      </c>
      <c r="D44" s="5" t="n">
        <v>15</v>
      </c>
      <c r="E44" s="5" t="n">
        <v>22</v>
      </c>
      <c r="F44" s="5" t="n">
        <v>7</v>
      </c>
      <c r="G44" s="6" t="n">
        <v>46.7</v>
      </c>
      <c r="H44" s="5" t="n">
        <v>18</v>
      </c>
      <c r="I44" s="5" t="n">
        <v>24</v>
      </c>
      <c r="J44" s="5" t="n">
        <v>6</v>
      </c>
      <c r="K44" s="6" t="n">
        <v>33.3</v>
      </c>
    </row>
    <row r="45">
      <c r="A45" s="4" t="n">
        <v>41</v>
      </c>
      <c r="B45" s="4" t="inlineStr">
        <is>
          <t>Сырники с изюмом    1 шт.= 55 гр</t>
        </is>
      </c>
      <c r="C45" s="4" t="inlineStr">
        <is>
          <t>Syrniki mit Rosinen 1 Stk.=55 g</t>
        </is>
      </c>
      <c r="D45" s="5" t="n">
        <v>15</v>
      </c>
      <c r="E45" s="5" t="n">
        <v>22</v>
      </c>
      <c r="F45" s="5" t="n">
        <v>7</v>
      </c>
      <c r="G45" s="6" t="n">
        <v>46.7</v>
      </c>
      <c r="H45" s="5" t="n">
        <v>18</v>
      </c>
      <c r="I45" s="5" t="n">
        <v>24</v>
      </c>
      <c r="J45" s="5" t="n">
        <v>6</v>
      </c>
      <c r="K45" s="6" t="n">
        <v>33.3</v>
      </c>
    </row>
    <row r="46">
      <c r="A46" s="4" t="n">
        <v>42</v>
      </c>
      <c r="B46" s="4" t="inlineStr">
        <is>
          <t>Сырники с шоколадными каплями   1 шт.= 55 гр</t>
        </is>
      </c>
      <c r="C46" s="4" t="inlineStr">
        <is>
          <t>Syrniki mit Schokoladenstückchen 1 Stk.=55 g</t>
        </is>
      </c>
      <c r="D46" s="5" t="n">
        <v>15</v>
      </c>
      <c r="E46" s="5" t="n">
        <v>22</v>
      </c>
      <c r="F46" s="5" t="n">
        <v>7</v>
      </c>
      <c r="G46" s="6" t="n">
        <v>46.7</v>
      </c>
      <c r="H46" s="5" t="n">
        <v>18</v>
      </c>
      <c r="I46" s="5" t="n">
        <v>24</v>
      </c>
      <c r="J46" s="5" t="n">
        <v>6</v>
      </c>
      <c r="K46" s="6" t="n">
        <v>33.3</v>
      </c>
    </row>
    <row r="47">
      <c r="A47" s="4" t="n">
        <v>43</v>
      </c>
      <c r="B47" s="4" t="inlineStr">
        <is>
          <t>Орешки «Солёная карамель» (1кг=40шт)</t>
        </is>
      </c>
      <c r="C47" s="4" t="inlineStr">
        <is>
          <t>Plätzchen „Salzkaramell“ (1kg=40Stk)</t>
        </is>
      </c>
      <c r="D47" s="4" t="n"/>
      <c r="E47" s="4" t="n"/>
      <c r="F47" s="4" t="n"/>
      <c r="G47" s="4" t="n"/>
      <c r="H47" s="5" t="n">
        <v>31</v>
      </c>
      <c r="I47" s="5" t="n">
        <v>46</v>
      </c>
      <c r="J47" s="5" t="n">
        <v>15</v>
      </c>
      <c r="K47" s="6" t="n">
        <v>48.4</v>
      </c>
    </row>
    <row r="48">
      <c r="A48" s="4" t="n">
        <v>44</v>
      </c>
      <c r="B48" s="4" t="inlineStr">
        <is>
          <t>Орешки «Три шоколада»  (1кг=40шт)</t>
        </is>
      </c>
      <c r="C48" s="4" t="inlineStr">
        <is>
          <t>Plätzchen „Dreifach Schokolade“ (1kg=40Stk)</t>
        </is>
      </c>
      <c r="D48" s="4" t="n"/>
      <c r="E48" s="4" t="n"/>
      <c r="F48" s="4" t="n"/>
      <c r="G48" s="4" t="n"/>
      <c r="H48" s="5" t="n">
        <v>31</v>
      </c>
      <c r="I48" s="5" t="n">
        <v>46</v>
      </c>
      <c r="J48" s="5" t="n">
        <v>15</v>
      </c>
      <c r="K48" s="6" t="n">
        <v>48.4</v>
      </c>
    </row>
    <row r="49">
      <c r="A49" s="4" t="n">
        <v>45</v>
      </c>
      <c r="B49" s="4" t="inlineStr">
        <is>
          <t>Орешки «Красная смородина»  (1кг=40шт)</t>
        </is>
      </c>
      <c r="C49" s="4" t="inlineStr">
        <is>
          <t>Plätzchen „Rote Johannisbeere“ (1kg=40Stk)</t>
        </is>
      </c>
      <c r="D49" s="4" t="n"/>
      <c r="E49" s="4" t="n"/>
      <c r="F49" s="4" t="n"/>
      <c r="G49" s="4" t="n"/>
      <c r="H49" s="5" t="n">
        <v>31</v>
      </c>
      <c r="I49" s="5" t="n">
        <v>46</v>
      </c>
      <c r="J49" s="5" t="n">
        <v>15</v>
      </c>
      <c r="K49" s="6" t="n">
        <v>48.4</v>
      </c>
    </row>
    <row r="50">
      <c r="A50" s="4" t="n">
        <v>46</v>
      </c>
      <c r="B50" s="4" t="inlineStr">
        <is>
          <t>Орешки «Два молока»  (1кг=40шт)</t>
        </is>
      </c>
      <c r="C50" s="4" t="inlineStr">
        <is>
          <t>Plätzchen „Zwei Milchsorten“ (1kg=40Stk)</t>
        </is>
      </c>
      <c r="D50" s="4" t="n"/>
      <c r="E50" s="4" t="n"/>
      <c r="F50" s="4" t="n"/>
      <c r="G50" s="4" t="n"/>
      <c r="H50" s="5" t="n">
        <v>31</v>
      </c>
      <c r="I50" s="5" t="n">
        <v>46</v>
      </c>
      <c r="J50" s="5" t="n">
        <v>15</v>
      </c>
      <c r="K50" s="6" t="n">
        <v>48.4</v>
      </c>
    </row>
    <row r="52">
      <c r="A52" s="7" t="inlineStr">
        <is>
          <t>Средняя наценка %</t>
        </is>
      </c>
      <c r="G52" s="8" t="n">
        <v>50.2</v>
      </c>
      <c r="K52" s="8" t="n">
        <v>49.3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22" customWidth="1" min="4" max="4"/>
    <col width="16" customWidth="1" min="5" max="5"/>
    <col width="22" customWidth="1" min="6" max="6"/>
  </cols>
  <sheetData>
    <row r="1">
      <c r="A1" s="1" t="inlineStr">
        <is>
          <t>BlinHaus Vienna — гипотеза цены для кассы кафе (наценка выше, чем на доставку)</t>
        </is>
      </c>
    </row>
    <row r="2">
      <c r="A2" s="2" t="inlineStr">
        <is>
          <t>Кафе продаёт готовую ПОРЦИЮ, а не кг — база: «Себестоимость за порцию». Наценка кафе = наценка на доставку (по этому же товару, готовая/сырая — что есть) + бонус ниже.</t>
        </is>
      </c>
    </row>
    <row r="3">
      <c r="A3" s="9" t="inlineStr">
        <is>
          <t>⚠ НЕ ПОДТВЕРЖДЕНО — условный доп. процент наценки кафе сверх доставки (п.п.):</t>
        </is>
      </c>
      <c r="F3" s="10" t="n">
        <v>30</v>
      </c>
      <c r="G3" t="inlineStr">
        <is>
          <t>п.п. — поменять здесь, когда назовёте реальную цифру</t>
        </is>
      </c>
    </row>
    <row r="5">
      <c r="A5" s="3" t="inlineStr">
        <is>
          <t>№</t>
        </is>
      </c>
      <c r="B5" s="3" t="inlineStr">
        <is>
          <t>Продукт</t>
        </is>
      </c>
      <c r="C5" s="3" t="inlineStr">
        <is>
          <t>Себестоимость/порция, €</t>
        </is>
      </c>
      <c r="D5" s="3" t="inlineStr">
        <is>
          <t>Наценка доставки, % (база)</t>
        </is>
      </c>
      <c r="E5" s="3" t="inlineStr">
        <is>
          <t>Наценка кафе, %</t>
        </is>
      </c>
      <c r="F5" s="3" t="inlineStr">
        <is>
          <t>Цена кафе за порцию, €</t>
        </is>
      </c>
    </row>
    <row r="6">
      <c r="A6" s="4" t="n">
        <v>1</v>
      </c>
      <c r="B6" s="4" t="inlineStr">
        <is>
          <t>Пельмени со свининой</t>
        </is>
      </c>
      <c r="C6" s="5" t="n">
        <v>3</v>
      </c>
      <c r="D6" s="4" t="n">
        <v>50</v>
      </c>
      <c r="E6" s="4">
        <f>D6+$F$3</f>
        <v/>
      </c>
      <c r="F6" s="5">
        <f>C6*(1+E6/100)</f>
        <v/>
      </c>
    </row>
    <row r="7">
      <c r="A7" s="4" t="n">
        <v>2</v>
      </c>
      <c r="B7" s="4" t="inlineStr">
        <is>
          <t>Пельмени с телятиной</t>
        </is>
      </c>
      <c r="C7" s="5" t="n">
        <v>3.75</v>
      </c>
      <c r="D7" s="4" t="n">
        <v>46.7</v>
      </c>
      <c r="E7" s="4">
        <f>D7+$F$3</f>
        <v/>
      </c>
      <c r="F7" s="5">
        <f>C7*(1+E7/100)</f>
        <v/>
      </c>
    </row>
    <row r="8">
      <c r="A8" s="4" t="n">
        <v>3</v>
      </c>
      <c r="B8" s="4" t="inlineStr">
        <is>
          <t>Пельмени с тремя видами мяса</t>
        </is>
      </c>
      <c r="C8" s="5" t="n">
        <v>3</v>
      </c>
      <c r="D8" s="4" t="n">
        <v>50</v>
      </c>
      <c r="E8" s="4">
        <f>D8+$F$3</f>
        <v/>
      </c>
      <c r="F8" s="5">
        <f>C8*(1+E8/100)</f>
        <v/>
      </c>
    </row>
    <row r="9">
      <c r="A9" s="4" t="n">
        <v>4</v>
      </c>
      <c r="B9" s="4" t="inlineStr">
        <is>
          <t>Пельмени с курицей</t>
        </is>
      </c>
      <c r="C9" s="5" t="n">
        <v>3</v>
      </c>
      <c r="D9" s="4" t="n">
        <v>50</v>
      </c>
      <c r="E9" s="4">
        <f>D9+$F$3</f>
        <v/>
      </c>
      <c r="F9" s="5">
        <f>C9*(1+E9/100)</f>
        <v/>
      </c>
    </row>
    <row r="10">
      <c r="A10" s="4" t="n">
        <v>5</v>
      </c>
      <c r="B10" s="4" t="inlineStr">
        <is>
          <t>Пельмени с индейкой</t>
        </is>
      </c>
      <c r="C10" s="5" t="n">
        <v>3</v>
      </c>
      <c r="D10" s="4" t="n">
        <v>50</v>
      </c>
      <c r="E10" s="4">
        <f>D10+$F$3</f>
        <v/>
      </c>
      <c r="F10" s="5">
        <f>C10*(1+E10/100)</f>
        <v/>
      </c>
    </row>
    <row r="11">
      <c r="A11" s="4" t="n">
        <v>6</v>
      </c>
      <c r="B11" s="4" t="inlineStr">
        <is>
          <t>Пельмени с бараниной</t>
        </is>
      </c>
      <c r="C11" s="5" t="n">
        <v>3.5</v>
      </c>
      <c r="D11" s="4" t="n">
        <v>43.8</v>
      </c>
      <c r="E11" s="4">
        <f>D11+$F$3</f>
        <v/>
      </c>
      <c r="F11" s="5">
        <f>C11*(1+E11/100)</f>
        <v/>
      </c>
    </row>
    <row r="12">
      <c r="A12" s="4" t="n">
        <v>7</v>
      </c>
      <c r="B12" s="4" t="inlineStr">
        <is>
          <t>Пельмени со свининой, жаренные</t>
        </is>
      </c>
      <c r="C12" s="5" t="n">
        <v>3.5</v>
      </c>
      <c r="D12" s="4" t="n">
        <v>70</v>
      </c>
      <c r="E12" s="4">
        <f>D12+$F$3</f>
        <v/>
      </c>
      <c r="F12" s="5">
        <f>C12*(1+E12/100)</f>
        <v/>
      </c>
    </row>
    <row r="13">
      <c r="A13" s="4" t="n">
        <v>8</v>
      </c>
      <c r="B13" s="4" t="inlineStr">
        <is>
          <t>Пельмени с тремя видами мяса, жаренные</t>
        </is>
      </c>
      <c r="C13" s="5" t="n">
        <v>3.5</v>
      </c>
      <c r="D13" s="4" t="n">
        <v>70</v>
      </c>
      <c r="E13" s="4">
        <f>D13+$F$3</f>
        <v/>
      </c>
      <c r="F13" s="5">
        <f>C13*(1+E13/100)</f>
        <v/>
      </c>
    </row>
    <row r="14">
      <c r="A14" s="4" t="n">
        <v>9</v>
      </c>
      <c r="B14" s="4" t="inlineStr">
        <is>
          <t>Пельмени с курицей, жаренные</t>
        </is>
      </c>
      <c r="C14" s="5" t="n">
        <v>3.5</v>
      </c>
      <c r="D14" s="4" t="n">
        <v>70</v>
      </c>
      <c r="E14" s="4">
        <f>D14+$F$3</f>
        <v/>
      </c>
      <c r="F14" s="5">
        <f>C14*(1+E14/100)</f>
        <v/>
      </c>
    </row>
    <row r="15">
      <c r="A15" s="4" t="n">
        <v>10</v>
      </c>
      <c r="B15" s="4" t="inlineStr">
        <is>
          <t>Пельмени с индейкой, жаренные</t>
        </is>
      </c>
      <c r="C15" s="5" t="n">
        <v>3.5</v>
      </c>
      <c r="D15" s="4" t="n">
        <v>70</v>
      </c>
      <c r="E15" s="4">
        <f>D15+$F$3</f>
        <v/>
      </c>
      <c r="F15" s="5">
        <f>C15*(1+E15/100)</f>
        <v/>
      </c>
    </row>
    <row r="16">
      <c r="A16" s="4" t="n">
        <v>11</v>
      </c>
      <c r="B16" s="4" t="inlineStr">
        <is>
          <t>Вареники со свининой</t>
        </is>
      </c>
      <c r="C16" s="5" t="n">
        <v>3</v>
      </c>
      <c r="D16" s="4" t="n">
        <v>50</v>
      </c>
      <c r="E16" s="4">
        <f>D16+$F$3</f>
        <v/>
      </c>
      <c r="F16" s="5">
        <f>C16*(1+E16/100)</f>
        <v/>
      </c>
    </row>
    <row r="17">
      <c r="A17" s="4" t="n">
        <v>12</v>
      </c>
      <c r="B17" s="4" t="inlineStr">
        <is>
          <t>Вареники с говядиной</t>
        </is>
      </c>
      <c r="C17" s="5" t="n">
        <v>3.75</v>
      </c>
      <c r="D17" s="4" t="n">
        <v>40</v>
      </c>
      <c r="E17" s="4">
        <f>D17+$F$3</f>
        <v/>
      </c>
      <c r="F17" s="5">
        <f>C17*(1+E17/100)</f>
        <v/>
      </c>
    </row>
    <row r="18">
      <c r="A18" s="4" t="n">
        <v>13</v>
      </c>
      <c r="B18" s="4" t="inlineStr">
        <is>
          <t>Вареники с картофелем и маслом</t>
        </is>
      </c>
      <c r="C18" s="5" t="n">
        <v>2.5</v>
      </c>
      <c r="D18" s="4" t="n">
        <v>60</v>
      </c>
      <c r="E18" s="4">
        <f>D18+$F$3</f>
        <v/>
      </c>
      <c r="F18" s="5">
        <f>C18*(1+E18/100)</f>
        <v/>
      </c>
    </row>
    <row r="19">
      <c r="A19" s="4" t="n">
        <v>14</v>
      </c>
      <c r="B19" s="4" t="inlineStr">
        <is>
          <t>Вареники с грибами и картофелем</t>
        </is>
      </c>
      <c r="C19" s="5" t="n">
        <v>2.5</v>
      </c>
      <c r="D19" s="4" t="n">
        <v>60</v>
      </c>
      <c r="E19" s="4">
        <f>D19+$F$3</f>
        <v/>
      </c>
      <c r="F19" s="5">
        <f>C19*(1+E19/100)</f>
        <v/>
      </c>
    </row>
    <row r="20">
      <c r="A20" s="4" t="n">
        <v>15</v>
      </c>
      <c r="B20" s="4" t="inlineStr">
        <is>
          <t>Вареники с капустой</t>
        </is>
      </c>
      <c r="C20" s="5" t="n">
        <v>2.25</v>
      </c>
      <c r="D20" s="4" t="n">
        <v>70</v>
      </c>
      <c r="E20" s="4">
        <f>D20+$F$3</f>
        <v/>
      </c>
      <c r="F20" s="5">
        <f>C20*(1+E20/100)</f>
        <v/>
      </c>
    </row>
    <row r="21">
      <c r="A21" s="4" t="n">
        <v>16</v>
      </c>
      <c r="B21" s="4" t="inlineStr">
        <is>
          <t>Вареники со сладким творогом</t>
        </is>
      </c>
      <c r="C21" s="5" t="n">
        <v>3</v>
      </c>
      <c r="D21" s="4" t="n">
        <v>50</v>
      </c>
      <c r="E21" s="4">
        <f>D21+$F$3</f>
        <v/>
      </c>
      <c r="F21" s="5">
        <f>C21*(1+E21/100)</f>
        <v/>
      </c>
    </row>
    <row r="22">
      <c r="A22" s="4" t="n">
        <v>17</v>
      </c>
      <c r="B22" s="4" t="inlineStr">
        <is>
          <t>Вареники с вишней</t>
        </is>
      </c>
      <c r="C22" s="5" t="n">
        <v>3.5</v>
      </c>
      <c r="D22" s="4" t="n">
        <v>42.9</v>
      </c>
      <c r="E22" s="4">
        <f>D22+$F$3</f>
        <v/>
      </c>
      <c r="F22" s="5">
        <f>C22*(1+E22/100)</f>
        <v/>
      </c>
    </row>
    <row r="23">
      <c r="A23" s="4" t="n">
        <v>18</v>
      </c>
      <c r="B23" s="4" t="inlineStr">
        <is>
          <t>Вареники с вишней и маком</t>
        </is>
      </c>
      <c r="C23" s="5" t="n">
        <v>3.5</v>
      </c>
      <c r="D23" s="4" t="n">
        <v>42.9</v>
      </c>
      <c r="E23" s="4">
        <f>D23+$F$3</f>
        <v/>
      </c>
      <c r="F23" s="5">
        <f>C23*(1+E23/100)</f>
        <v/>
      </c>
    </row>
    <row r="24">
      <c r="A24" s="4" t="n">
        <v>19</v>
      </c>
      <c r="B24" s="4" t="inlineStr">
        <is>
          <t>Вареники с маком</t>
        </is>
      </c>
      <c r="C24" s="5" t="n">
        <v>3</v>
      </c>
      <c r="D24" s="4" t="n">
        <v>50</v>
      </c>
      <c r="E24" s="4">
        <f>D24+$F$3</f>
        <v/>
      </c>
      <c r="F24" s="5">
        <f>C24*(1+E24/100)</f>
        <v/>
      </c>
    </row>
    <row r="25">
      <c r="A25" s="4" t="n">
        <v>20</v>
      </c>
      <c r="B25" s="4" t="inlineStr">
        <is>
          <t>Картофельные зразы с грибами</t>
        </is>
      </c>
      <c r="C25" s="5" t="n">
        <v>2.4</v>
      </c>
      <c r="D25" s="4" t="n">
        <v>42.9</v>
      </c>
      <c r="E25" s="4">
        <f>D25+$F$3</f>
        <v/>
      </c>
      <c r="F25" s="5">
        <f>C25*(1+E25/100)</f>
        <v/>
      </c>
    </row>
    <row r="26">
      <c r="A26" s="4" t="n">
        <v>21</v>
      </c>
      <c r="B26" s="4" t="inlineStr">
        <is>
          <t>Картофельные зразы с мясом</t>
        </is>
      </c>
      <c r="C26" s="5" t="n">
        <v>2.4</v>
      </c>
      <c r="D26" s="4" t="n">
        <v>42.9</v>
      </c>
      <c r="E26" s="4">
        <f>D26+$F$3</f>
        <v/>
      </c>
      <c r="F26" s="5">
        <f>C26*(1+E26/100)</f>
        <v/>
      </c>
    </row>
    <row r="27">
      <c r="A27" s="4" t="n">
        <v>22</v>
      </c>
      <c r="B27" s="4" t="inlineStr">
        <is>
          <t>Чебуреки со свининой</t>
        </is>
      </c>
      <c r="C27" s="5" t="n">
        <v>1.5</v>
      </c>
      <c r="D27" s="4" t="n">
        <v>42.9</v>
      </c>
      <c r="E27" s="4">
        <f>D27+$F$3</f>
        <v/>
      </c>
      <c r="F27" s="5">
        <f>C27*(1+E27/100)</f>
        <v/>
      </c>
    </row>
    <row r="28">
      <c r="A28" s="4" t="n">
        <v>23</v>
      </c>
      <c r="B28" s="4" t="inlineStr">
        <is>
          <t>Чебуреки со свининой, сыром и помидорами</t>
        </is>
      </c>
      <c r="C28" s="5" t="n">
        <v>1.65</v>
      </c>
      <c r="D28" s="4" t="n">
        <v>43.5</v>
      </c>
      <c r="E28" s="4">
        <f>D28+$F$3</f>
        <v/>
      </c>
      <c r="F28" s="5">
        <f>C28*(1+E28/100)</f>
        <v/>
      </c>
    </row>
    <row r="29">
      <c r="A29" s="4" t="n">
        <v>24</v>
      </c>
      <c r="B29" s="4" t="inlineStr">
        <is>
          <t>Бендерики с мясом</t>
        </is>
      </c>
      <c r="C29" s="5" t="n">
        <v>2.2</v>
      </c>
      <c r="D29" s="4" t="n">
        <v>46.2</v>
      </c>
      <c r="E29" s="4">
        <f>D29+$F$3</f>
        <v/>
      </c>
      <c r="F29" s="5">
        <f>C29*(1+E29/100)</f>
        <v/>
      </c>
    </row>
    <row r="30">
      <c r="A30" s="4" t="n">
        <v>25</v>
      </c>
      <c r="B30" s="4" t="inlineStr">
        <is>
          <t>Бендерики с курицей и моцареллой</t>
        </is>
      </c>
      <c r="C30" s="5" t="n">
        <v>2.2</v>
      </c>
      <c r="D30" s="4" t="n">
        <v>46.2</v>
      </c>
      <c r="E30" s="4">
        <f>D30+$F$3</f>
        <v/>
      </c>
      <c r="F30" s="5">
        <f>C30*(1+E30/100)</f>
        <v/>
      </c>
    </row>
    <row r="31">
      <c r="A31" s="4" t="n">
        <v>26</v>
      </c>
      <c r="B31" s="4" t="inlineStr">
        <is>
          <t>Перепелка, 1 шт</t>
        </is>
      </c>
      <c r="C31" s="5" t="n">
        <v>6</v>
      </c>
      <c r="D31" s="4" t="n"/>
      <c r="E31" s="4" t="n"/>
      <c r="F31" s="4" t="n"/>
    </row>
    <row r="32">
      <c r="A32" s="4" t="n">
        <v>27</v>
      </c>
      <c r="B32" s="4" t="inlineStr">
        <is>
          <t>Рыбный суп (уха) порция 300 гр.</t>
        </is>
      </c>
      <c r="C32" s="5" t="n">
        <v>3.5</v>
      </c>
      <c r="D32" s="4" t="n"/>
      <c r="E32" s="4" t="n"/>
      <c r="F32" s="4" t="n"/>
    </row>
    <row r="33">
      <c r="A33" s="4" t="n">
        <v>28</v>
      </c>
      <c r="B33" s="4" t="inlineStr">
        <is>
          <t>Блинчики с тунцом</t>
        </is>
      </c>
      <c r="C33" s="5" t="n">
        <v>2.4</v>
      </c>
      <c r="D33" s="4" t="n">
        <v>38.5</v>
      </c>
      <c r="E33" s="4">
        <f>D33+$F$3</f>
        <v/>
      </c>
      <c r="F33" s="5">
        <f>C33*(1+E33/100)</f>
        <v/>
      </c>
    </row>
    <row r="34">
      <c r="A34" s="4" t="n">
        <v>29</v>
      </c>
      <c r="B34" s="4" t="inlineStr">
        <is>
          <t>Блинчики с лососем и шпинатом</t>
        </is>
      </c>
      <c r="C34" s="5" t="n">
        <v>2.4</v>
      </c>
      <c r="D34" s="4" t="n">
        <v>50</v>
      </c>
      <c r="E34" s="4">
        <f>D34+$F$3</f>
        <v/>
      </c>
      <c r="F34" s="5">
        <f>C34*(1+E34/100)</f>
        <v/>
      </c>
    </row>
    <row r="35">
      <c r="A35" s="4" t="n">
        <v>30</v>
      </c>
      <c r="B35" s="4" t="inlineStr">
        <is>
          <t>Блинчики с говядиной</t>
        </is>
      </c>
      <c r="C35" s="5" t="n">
        <v>2.4</v>
      </c>
      <c r="D35" s="4" t="n">
        <v>50</v>
      </c>
      <c r="E35" s="4">
        <f>D35+$F$3</f>
        <v/>
      </c>
      <c r="F35" s="5">
        <f>C35*(1+E35/100)</f>
        <v/>
      </c>
    </row>
    <row r="36">
      <c r="A36" s="4" t="n">
        <v>31</v>
      </c>
      <c r="B36" s="4" t="inlineStr">
        <is>
          <t>Блинчики с курицей и грибами</t>
        </is>
      </c>
      <c r="C36" s="5" t="n">
        <v>2.2</v>
      </c>
      <c r="D36" s="4" t="n">
        <v>54.5</v>
      </c>
      <c r="E36" s="4">
        <f>D36+$F$3</f>
        <v/>
      </c>
      <c r="F36" s="5">
        <f>C36*(1+E36/100)</f>
        <v/>
      </c>
    </row>
    <row r="37">
      <c r="A37" s="4" t="n">
        <v>32</v>
      </c>
      <c r="B37" s="4" t="inlineStr">
        <is>
          <t>Блинчики с грибами</t>
        </is>
      </c>
      <c r="C37" s="5" t="n">
        <v>2.2</v>
      </c>
      <c r="D37" s="4" t="n">
        <v>54.5</v>
      </c>
      <c r="E37" s="4">
        <f>D37+$F$3</f>
        <v/>
      </c>
      <c r="F37" s="5">
        <f>C37*(1+E37/100)</f>
        <v/>
      </c>
    </row>
    <row r="38">
      <c r="A38" s="4" t="n">
        <v>33</v>
      </c>
      <c r="B38" s="4" t="inlineStr">
        <is>
          <t>Блинчики с моцареллой и вялеными помидорами</t>
        </is>
      </c>
      <c r="C38" s="5" t="n">
        <v>2.2</v>
      </c>
      <c r="D38" s="4" t="n">
        <v>54.5</v>
      </c>
      <c r="E38" s="4">
        <f>D38+$F$3</f>
        <v/>
      </c>
      <c r="F38" s="5">
        <f>C38*(1+E38/100)</f>
        <v/>
      </c>
    </row>
    <row r="39">
      <c r="A39" s="4" t="n">
        <v>34</v>
      </c>
      <c r="B39" s="4" t="inlineStr">
        <is>
          <t>Блинчики с малиной и маскарпоне</t>
        </is>
      </c>
      <c r="C39" s="5" t="n">
        <v>2.8</v>
      </c>
      <c r="D39" s="4" t="n">
        <v>42.9</v>
      </c>
      <c r="E39" s="4">
        <f>D39+$F$3</f>
        <v/>
      </c>
      <c r="F39" s="5">
        <f>C39*(1+E39/100)</f>
        <v/>
      </c>
    </row>
    <row r="40">
      <c r="A40" s="4" t="n">
        <v>35</v>
      </c>
      <c r="B40" s="4" t="inlineStr">
        <is>
          <t>Блинчики с маком и вишней</t>
        </is>
      </c>
      <c r="C40" s="5" t="n">
        <v>2.4</v>
      </c>
      <c r="D40" s="4" t="n">
        <v>50</v>
      </c>
      <c r="E40" s="4">
        <f>D40+$F$3</f>
        <v/>
      </c>
      <c r="F40" s="5">
        <f>C40*(1+E40/100)</f>
        <v/>
      </c>
    </row>
    <row r="41">
      <c r="A41" s="4" t="n">
        <v>36</v>
      </c>
      <c r="B41" s="4" t="inlineStr">
        <is>
          <t>Блинчики с творогом и черникой</t>
        </is>
      </c>
      <c r="C41" s="5" t="n">
        <v>2.4</v>
      </c>
      <c r="D41" s="4" t="n">
        <v>50</v>
      </c>
      <c r="E41" s="4">
        <f>D41+$F$3</f>
        <v/>
      </c>
      <c r="F41" s="5">
        <f>C41*(1+E41/100)</f>
        <v/>
      </c>
    </row>
    <row r="42">
      <c r="A42" s="4" t="n">
        <v>37</v>
      </c>
      <c r="B42" s="4" t="inlineStr">
        <is>
          <t>Блинчики с вишней и шоколадом</t>
        </is>
      </c>
      <c r="C42" s="5" t="n">
        <v>2.4</v>
      </c>
      <c r="D42" s="4" t="n">
        <v>50</v>
      </c>
      <c r="E42" s="4">
        <f>D42+$F$3</f>
        <v/>
      </c>
      <c r="F42" s="5">
        <f>C42*(1+E42/100)</f>
        <v/>
      </c>
    </row>
    <row r="43">
      <c r="A43" s="4" t="n">
        <v>38</v>
      </c>
      <c r="B43" s="4" t="inlineStr">
        <is>
          <t>Блинчики с карамелизированными яблоками</t>
        </is>
      </c>
      <c r="C43" s="5" t="n">
        <v>2.2</v>
      </c>
      <c r="D43" s="4" t="n">
        <v>54.5</v>
      </c>
      <c r="E43" s="4">
        <f>D43+$F$3</f>
        <v/>
      </c>
      <c r="F43" s="5">
        <f>C43*(1+E43/100)</f>
        <v/>
      </c>
    </row>
    <row r="44">
      <c r="A44" s="4" t="n">
        <v>39</v>
      </c>
      <c r="B44" s="4" t="inlineStr">
        <is>
          <t>Блинчики с творогом (сладкие)</t>
        </is>
      </c>
      <c r="C44" s="5" t="n">
        <v>2.4</v>
      </c>
      <c r="D44" s="4" t="n">
        <v>41.7</v>
      </c>
      <c r="E44" s="4">
        <f>D44+$F$3</f>
        <v/>
      </c>
      <c r="F44" s="5">
        <f>C44*(1+E44/100)</f>
        <v/>
      </c>
    </row>
    <row r="45">
      <c r="A45" s="4" t="n">
        <v>40</v>
      </c>
      <c r="B45" s="4" t="inlineStr">
        <is>
          <t>Сырники классические  1 шт.= 55 гр</t>
        </is>
      </c>
      <c r="C45" s="5" t="n">
        <v>2.5</v>
      </c>
      <c r="D45" s="4" t="n">
        <v>33.3</v>
      </c>
      <c r="E45" s="4">
        <f>D45+$F$3</f>
        <v/>
      </c>
      <c r="F45" s="5">
        <f>C45*(1+E45/100)</f>
        <v/>
      </c>
    </row>
    <row r="46">
      <c r="A46" s="4" t="n">
        <v>41</v>
      </c>
      <c r="B46" s="4" t="inlineStr">
        <is>
          <t>Сырники с изюмом    1 шт.= 55 гр</t>
        </is>
      </c>
      <c r="C46" s="5" t="n">
        <v>2.5</v>
      </c>
      <c r="D46" s="4" t="n">
        <v>33.3</v>
      </c>
      <c r="E46" s="4">
        <f>D46+$F$3</f>
        <v/>
      </c>
      <c r="F46" s="5">
        <f>C46*(1+E46/100)</f>
        <v/>
      </c>
    </row>
    <row r="47">
      <c r="A47" s="4" t="n">
        <v>42</v>
      </c>
      <c r="B47" s="4" t="inlineStr">
        <is>
          <t>Сырники с шоколадными каплями   1 шт.= 55 гр</t>
        </is>
      </c>
      <c r="C47" s="5" t="n">
        <v>2.5</v>
      </c>
      <c r="D47" s="4" t="n">
        <v>33.3</v>
      </c>
      <c r="E47" s="4">
        <f>D47+$F$3</f>
        <v/>
      </c>
      <c r="F47" s="5">
        <f>C47*(1+E47/100)</f>
        <v/>
      </c>
    </row>
    <row r="48">
      <c r="A48" s="4" t="n">
        <v>43</v>
      </c>
      <c r="B48" s="4" t="inlineStr">
        <is>
          <t>Орешки «Солёная карамель» (1кг=40шт)</t>
        </is>
      </c>
      <c r="C48" s="5" t="n">
        <v>0.78</v>
      </c>
      <c r="D48" s="4" t="n">
        <v>48.4</v>
      </c>
      <c r="E48" s="4">
        <f>D48+$F$3</f>
        <v/>
      </c>
      <c r="F48" s="5">
        <f>C48*(1+E48/100)</f>
        <v/>
      </c>
    </row>
    <row r="49">
      <c r="A49" s="4" t="n">
        <v>44</v>
      </c>
      <c r="B49" s="4" t="inlineStr">
        <is>
          <t>Орешки «Три шоколада»  (1кг=40шт)</t>
        </is>
      </c>
      <c r="C49" s="5" t="n">
        <v>0.78</v>
      </c>
      <c r="D49" s="4" t="n">
        <v>48.4</v>
      </c>
      <c r="E49" s="4">
        <f>D49+$F$3</f>
        <v/>
      </c>
      <c r="F49" s="5">
        <f>C49*(1+E49/100)</f>
        <v/>
      </c>
    </row>
    <row r="50">
      <c r="A50" s="4" t="n">
        <v>45</v>
      </c>
      <c r="B50" s="4" t="inlineStr">
        <is>
          <t>Орешки «Красная смородина»  (1кг=40шт)</t>
        </is>
      </c>
      <c r="C50" s="5" t="n">
        <v>0.78</v>
      </c>
      <c r="D50" s="4" t="n">
        <v>48.4</v>
      </c>
      <c r="E50" s="4">
        <f>D50+$F$3</f>
        <v/>
      </c>
      <c r="F50" s="5">
        <f>C50*(1+E50/100)</f>
        <v/>
      </c>
    </row>
    <row r="51">
      <c r="A51" s="4" t="n">
        <v>46</v>
      </c>
      <c r="B51" s="4" t="inlineStr">
        <is>
          <t>Орешки «Два молока»  (1кг=40шт)</t>
        </is>
      </c>
      <c r="C51" s="5" t="n">
        <v>0.78</v>
      </c>
      <c r="D51" s="4" t="n">
        <v>48.4</v>
      </c>
      <c r="E51" s="4">
        <f>D51+$F$3</f>
        <v/>
      </c>
      <c r="F51" s="5">
        <f>C51*(1+E51/100)</f>
        <v/>
      </c>
    </row>
  </sheetData>
  <mergeCells count="3">
    <mergeCell ref="A2:G2"/>
    <mergeCell ref="A1:G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2" customWidth="1" min="3" max="3"/>
    <col width="55" customWidth="1" min="4" max="4"/>
  </cols>
  <sheetData>
    <row r="1">
      <c r="A1" s="1" t="inlineStr">
        <is>
          <t>Напитки — правила наценки (озвучено 13.07.2026, пока БЕЗ расчёта)</t>
        </is>
      </c>
    </row>
    <row r="2">
      <c r="A2" s="2" t="inlineStr">
        <is>
          <t>В прайсе HoReCa себестоимости напитков нет — расчёт цены появится, когда будет приход/закупка по напиткам.</t>
        </is>
      </c>
    </row>
    <row r="4">
      <c r="A4" s="3" t="inlineStr">
        <is>
          <t>Категория напитков</t>
        </is>
      </c>
      <c r="B4" s="3" t="inlineStr">
        <is>
          <t>Наценка</t>
        </is>
      </c>
      <c r="C4" s="3" t="inlineStr">
        <is>
          <t>Статус</t>
        </is>
      </c>
      <c r="D4" s="3" t="inlineStr">
        <is>
          <t>Комментарий</t>
        </is>
      </c>
    </row>
    <row r="5">
      <c r="A5" s="11" t="inlineStr">
        <is>
          <t>Штучные / бутилированные (вода, соки, лимонады и т.п.)</t>
        </is>
      </c>
      <c r="B5" s="11" t="inlineStr">
        <is>
          <t>200%</t>
        </is>
      </c>
      <c r="C5" s="11" t="inlineStr">
        <is>
          <t>Правило подтверждено 13.07.2026</t>
        </is>
      </c>
      <c r="D5" s="11" t="inlineStr">
        <is>
          <t>Цена = себестоимость × 3 (100% себестоимость + 200% наценка). Нужна закупочная цена за штуку.</t>
        </is>
      </c>
    </row>
    <row r="6">
      <c r="A6" s="11" t="inlineStr">
        <is>
          <t>Кофе / чай (напиток, готовится в кафе)</t>
        </is>
      </c>
      <c r="B6" s="11" t="inlineStr">
        <is>
          <t>700%</t>
        </is>
      </c>
      <c r="C6" s="11" t="inlineStr">
        <is>
          <t>Правило подтверждено 13.07.2026</t>
        </is>
      </c>
      <c r="D6" s="11" t="inlineStr">
        <is>
          <t>Цена = себестоимость × 8. Нужна себестоимость порции (граммовка кофе/чая, молоко и т.п.).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2026-07-13T14:33:37Z</dcterms:created>
  <dcterms:modified xsi:type="dcterms:W3CDTF">2026-07-13T14:33:37Z</dcterms:modified>
</cp:coreProperties>
</file>